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726"/>
  <workbookPr autoCompressPictures="0"/>
  <mc:AlternateContent xmlns:mc="http://schemas.openxmlformats.org/markup-compatibility/2006">
    <mc:Choice Requires="x15">
      <x15ac:absPath xmlns:x15ac="http://schemas.microsoft.com/office/spreadsheetml/2010/11/ac" url="J:\Qualité\Amélioration Continue (Risques, NC, Audits, Formations)\PCA\Documents de travail\"/>
    </mc:Choice>
  </mc:AlternateContent>
  <xr:revisionPtr revIDLastSave="0" documentId="13_ncr:1_{CBA96259-9079-4641-8E96-779BA67CC31A}" xr6:coauthVersionLast="47" xr6:coauthVersionMax="47" xr10:uidLastSave="{00000000-0000-0000-0000-000000000000}"/>
  <bookViews>
    <workbookView xWindow="14295" yWindow="0" windowWidth="14610" windowHeight="15585" tabRatio="939" firstSheet="1" activeTab="5" xr2:uid="{00000000-000D-0000-FFFF-FFFF00000000}"/>
  </bookViews>
  <sheets>
    <sheet name="Analyse Process Critiques" sheetId="9" state="hidden" r:id="rId1"/>
    <sheet name="Grille cotation risques" sheetId="48" r:id="rId2"/>
    <sheet name="Processus Dedienne" sheetId="57" r:id="rId3"/>
    <sheet name="Risques INT &amp; EXT Le Garric" sheetId="55" state="hidden" r:id="rId4"/>
    <sheet name="Risques INT &amp; EXT Villaroche" sheetId="56" state="hidden" r:id="rId5"/>
    <sheet name="Risques Informatiques" sheetId="1" r:id="rId6"/>
    <sheet name="Modèle Fiche Scénario" sheetId="49" r:id="rId7"/>
    <sheet name="Modèle Fiche CA" sheetId="46" r:id="rId8"/>
    <sheet name="Gestion de crise" sheetId="10" r:id="rId9"/>
  </sheets>
  <definedNames>
    <definedName name="_xlnm._FilterDatabase" localSheetId="5" hidden="1">'Risques Informatiques'!$A$9:$L$63</definedName>
    <definedName name="_xlnm._FilterDatabase" localSheetId="3" hidden="1">'Risques INT &amp; EXT Le Garric'!$B$9:$L$40</definedName>
    <definedName name="_xlnm._FilterDatabase" localSheetId="4" hidden="1">'Risques INT &amp; EXT Villaroche'!$B$9:$L$35</definedName>
    <definedName name="_xlnm.Print_Area" localSheetId="5">'Risques Informatiques'!$A$6:$L$63</definedName>
    <definedName name="_xlnm.Print_Area" localSheetId="3">'Risques INT &amp; EXT Le Garric'!$B$6:$L$41</definedName>
    <definedName name="_xlnm.Print_Area" localSheetId="4">'Risques INT &amp; EXT Villaroche'!$B$6:$L$35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G10" i="1" l="1"/>
  <c r="J23" i="1"/>
  <c r="K23" i="1" s="1"/>
  <c r="J10" i="1"/>
  <c r="K10" i="1" s="1"/>
  <c r="G15" i="1"/>
  <c r="J15" i="1" s="1"/>
  <c r="K15" i="1" s="1"/>
  <c r="G27" i="1"/>
  <c r="J27" i="1" s="1"/>
  <c r="K27" i="1" s="1"/>
  <c r="G23" i="1"/>
  <c r="G22" i="1"/>
  <c r="J22" i="1" s="1"/>
  <c r="K22" i="1" s="1"/>
  <c r="G16" i="1"/>
  <c r="J16" i="1" s="1"/>
  <c r="K16" i="1" s="1"/>
  <c r="G34" i="55" l="1"/>
  <c r="J34" i="55" s="1"/>
  <c r="J29" i="55"/>
  <c r="G29" i="55"/>
  <c r="G28" i="55"/>
  <c r="J28" i="55" s="1"/>
  <c r="G19" i="56" l="1"/>
  <c r="J19" i="56" s="1"/>
  <c r="G33" i="56"/>
  <c r="J33" i="56" s="1"/>
  <c r="G27" i="55"/>
  <c r="J27" i="55" s="1"/>
  <c r="G38" i="55" l="1"/>
  <c r="J38" i="55" s="1"/>
  <c r="G27" i="56"/>
  <c r="J27" i="56" s="1"/>
  <c r="G37" i="55"/>
  <c r="J37" i="55" s="1"/>
  <c r="G36" i="55"/>
  <c r="J36" i="55" s="1"/>
  <c r="G16" i="56"/>
  <c r="J16" i="56" s="1"/>
  <c r="G16" i="55"/>
  <c r="J16" i="55" s="1"/>
  <c r="G35" i="56"/>
  <c r="J35" i="56" s="1"/>
  <c r="G34" i="56"/>
  <c r="J34" i="56" s="1"/>
  <c r="G32" i="56"/>
  <c r="J32" i="56" s="1"/>
  <c r="G31" i="56"/>
  <c r="J31" i="56" s="1"/>
  <c r="G30" i="56"/>
  <c r="J30" i="56" s="1"/>
  <c r="J29" i="56"/>
  <c r="G28" i="56"/>
  <c r="J28" i="56" s="1"/>
  <c r="G26" i="56"/>
  <c r="J26" i="56" s="1"/>
  <c r="G25" i="56"/>
  <c r="J25" i="56" s="1"/>
  <c r="G24" i="56"/>
  <c r="G23" i="56"/>
  <c r="J23" i="56" s="1"/>
  <c r="J22" i="56"/>
  <c r="G21" i="56"/>
  <c r="J21" i="56" s="1"/>
  <c r="G20" i="56"/>
  <c r="J20" i="56" s="1"/>
  <c r="G18" i="56"/>
  <c r="J18" i="56" s="1"/>
  <c r="J17" i="56"/>
  <c r="G15" i="56"/>
  <c r="J15" i="56" s="1"/>
  <c r="G14" i="56"/>
  <c r="J14" i="56" s="1"/>
  <c r="G13" i="56"/>
  <c r="J13" i="56" s="1"/>
  <c r="G12" i="56"/>
  <c r="J12" i="56" s="1"/>
  <c r="G11" i="56"/>
  <c r="G10" i="56"/>
  <c r="J10" i="56" s="1"/>
  <c r="G21" i="55"/>
  <c r="J21" i="55" s="1"/>
  <c r="G40" i="55"/>
  <c r="J40" i="55" s="1"/>
  <c r="G39" i="55"/>
  <c r="J39" i="55" s="1"/>
  <c r="G35" i="55"/>
  <c r="J35" i="55" s="1"/>
  <c r="G33" i="55"/>
  <c r="J33" i="55" s="1"/>
  <c r="G32" i="55"/>
  <c r="J32" i="55" s="1"/>
  <c r="J31" i="55"/>
  <c r="G30" i="55"/>
  <c r="J30" i="55" s="1"/>
  <c r="G26" i="55"/>
  <c r="J26" i="55" s="1"/>
  <c r="G25" i="55"/>
  <c r="J25" i="55" s="1"/>
  <c r="G24" i="55"/>
  <c r="G23" i="55"/>
  <c r="G22" i="55"/>
  <c r="G20" i="55"/>
  <c r="G19" i="55"/>
  <c r="G18" i="55"/>
  <c r="J18" i="55" s="1"/>
  <c r="J17" i="55"/>
  <c r="G15" i="55"/>
  <c r="J15" i="55" s="1"/>
  <c r="G14" i="55"/>
  <c r="J14" i="55" s="1"/>
  <c r="G13" i="55"/>
  <c r="G12" i="55"/>
  <c r="J12" i="55" s="1"/>
  <c r="G11" i="55"/>
  <c r="G10" i="55"/>
  <c r="G51" i="1" l="1"/>
  <c r="J51" i="1" s="1"/>
  <c r="K51" i="1" s="1"/>
  <c r="G45" i="1"/>
  <c r="J45" i="1" s="1"/>
  <c r="K45" i="1" s="1"/>
  <c r="G46" i="1"/>
  <c r="J46" i="1" s="1"/>
  <c r="K46" i="1" s="1"/>
  <c r="G17" i="1"/>
  <c r="J17" i="1" s="1"/>
  <c r="K17" i="1" s="1"/>
  <c r="G20" i="1"/>
  <c r="J20" i="1" s="1"/>
  <c r="K20" i="1" s="1"/>
  <c r="G11" i="1" l="1"/>
  <c r="J11" i="1" s="1"/>
  <c r="K11" i="1" s="1"/>
  <c r="G12" i="1"/>
  <c r="J12" i="1" s="1"/>
  <c r="K12" i="1" s="1"/>
  <c r="G13" i="1"/>
  <c r="J13" i="1" s="1"/>
  <c r="K13" i="1" s="1"/>
  <c r="G14" i="1"/>
  <c r="J14" i="1" s="1"/>
  <c r="K14" i="1" s="1"/>
  <c r="G18" i="1"/>
  <c r="J18" i="1" s="1"/>
  <c r="K18" i="1" s="1"/>
  <c r="G19" i="1"/>
  <c r="J19" i="1" s="1"/>
  <c r="K19" i="1" s="1"/>
  <c r="G21" i="1"/>
  <c r="J21" i="1" s="1"/>
  <c r="K21" i="1" s="1"/>
  <c r="G24" i="1"/>
  <c r="J24" i="1" s="1"/>
  <c r="K24" i="1" s="1"/>
  <c r="G25" i="1"/>
  <c r="J25" i="1" s="1"/>
  <c r="K25" i="1" s="1"/>
  <c r="G26" i="1"/>
  <c r="J26" i="1" s="1"/>
  <c r="K26" i="1" s="1"/>
  <c r="G28" i="1"/>
  <c r="J28" i="1" s="1"/>
  <c r="K28" i="1" s="1"/>
  <c r="G29" i="1"/>
  <c r="J29" i="1" s="1"/>
  <c r="K29" i="1" s="1"/>
  <c r="G30" i="1"/>
  <c r="J30" i="1" s="1"/>
  <c r="K30" i="1" s="1"/>
  <c r="G31" i="1"/>
  <c r="J31" i="1" s="1"/>
  <c r="K31" i="1" s="1"/>
  <c r="G32" i="1"/>
  <c r="J32" i="1" s="1"/>
  <c r="K32" i="1" s="1"/>
  <c r="G33" i="1"/>
  <c r="J33" i="1" s="1"/>
  <c r="K33" i="1" s="1"/>
  <c r="G34" i="1"/>
  <c r="J34" i="1" s="1"/>
  <c r="K34" i="1" s="1"/>
  <c r="G35" i="1"/>
  <c r="J35" i="1" s="1"/>
  <c r="K35" i="1" s="1"/>
  <c r="G36" i="1"/>
  <c r="J36" i="1" s="1"/>
  <c r="K36" i="1" s="1"/>
  <c r="G37" i="1"/>
  <c r="J37" i="1" s="1"/>
  <c r="K37" i="1" s="1"/>
  <c r="G38" i="1"/>
  <c r="J38" i="1" s="1"/>
  <c r="K38" i="1" s="1"/>
  <c r="G39" i="1"/>
  <c r="J39" i="1" s="1"/>
  <c r="K39" i="1" s="1"/>
  <c r="G40" i="1"/>
  <c r="J40" i="1" s="1"/>
  <c r="K40" i="1" s="1"/>
  <c r="G41" i="1"/>
  <c r="J41" i="1" s="1"/>
  <c r="K41" i="1" s="1"/>
  <c r="G42" i="1"/>
  <c r="J42" i="1" s="1"/>
  <c r="K42" i="1" s="1"/>
  <c r="G43" i="1"/>
  <c r="J43" i="1" s="1"/>
  <c r="K43" i="1" s="1"/>
  <c r="G44" i="1"/>
  <c r="J44" i="1" s="1"/>
  <c r="K44" i="1" s="1"/>
  <c r="G47" i="1"/>
  <c r="J47" i="1" s="1"/>
  <c r="K47" i="1" s="1"/>
  <c r="G48" i="1"/>
  <c r="J48" i="1" s="1"/>
  <c r="K48" i="1" s="1"/>
  <c r="G49" i="1"/>
  <c r="J49" i="1" s="1"/>
  <c r="K49" i="1" s="1"/>
  <c r="G50" i="1"/>
  <c r="J50" i="1" s="1"/>
  <c r="K50" i="1" s="1"/>
  <c r="G52" i="1"/>
  <c r="J52" i="1" s="1"/>
  <c r="K52" i="1" s="1"/>
  <c r="G53" i="1"/>
  <c r="J53" i="1" s="1"/>
  <c r="K53" i="1" s="1"/>
  <c r="G54" i="1"/>
  <c r="J54" i="1" s="1"/>
  <c r="K54" i="1" s="1"/>
  <c r="G55" i="1"/>
  <c r="J55" i="1" s="1"/>
  <c r="K55" i="1" s="1"/>
  <c r="G56" i="1"/>
  <c r="J56" i="1" s="1"/>
  <c r="K56" i="1" s="1"/>
  <c r="G57" i="1"/>
  <c r="J57" i="1" s="1"/>
  <c r="K57" i="1" s="1"/>
  <c r="G58" i="1"/>
  <c r="J58" i="1" s="1"/>
  <c r="K58" i="1" s="1"/>
  <c r="G59" i="1"/>
  <c r="J59" i="1" s="1"/>
  <c r="K59" i="1" s="1"/>
  <c r="G60" i="1"/>
  <c r="J60" i="1" s="1"/>
  <c r="K60" i="1" s="1"/>
  <c r="G61" i="1"/>
  <c r="J61" i="1" s="1"/>
  <c r="K61" i="1" s="1"/>
  <c r="G62" i="1"/>
  <c r="J62" i="1" s="1"/>
  <c r="K62" i="1" s="1"/>
  <c r="B63"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guitard arnaud</author>
  </authors>
  <commentList>
    <comment ref="C12" authorId="0" shapeId="0" xr:uid="{BFD895E5-B95E-4CEA-8C6C-E2C04E1A3130}">
      <text>
        <r>
          <rPr>
            <b/>
            <sz val="9"/>
            <color indexed="81"/>
            <rFont val="Tahoma"/>
            <family val="2"/>
          </rPr>
          <t>Guitard Arnaud:</t>
        </r>
        <r>
          <rPr>
            <sz val="9"/>
            <color indexed="81"/>
            <rFont val="Tahoma"/>
            <family val="2"/>
          </rPr>
          <t xml:space="preserve">
Ajouter dans le fichier :
- Gestion des risques avec les sites :
     * Attaque
     * Virus
     * RH
</t>
        </r>
      </text>
    </comment>
  </commentList>
</comments>
</file>

<file path=xl/sharedStrings.xml><?xml version="1.0" encoding="utf-8"?>
<sst xmlns="http://schemas.openxmlformats.org/spreadsheetml/2006/main" count="867" uniqueCount="614">
  <si>
    <t>Incendie</t>
  </si>
  <si>
    <t>Titre :</t>
  </si>
  <si>
    <t>PCA</t>
  </si>
  <si>
    <t>Installation:</t>
  </si>
  <si>
    <t>Description du scénario retenu et vulnérabilités identifiées:</t>
  </si>
  <si>
    <t>Moyens de prévention/protection existants:</t>
  </si>
  <si>
    <t>Stratégies de continuité identifiées:</t>
  </si>
  <si>
    <t xml:space="preserve">Type de Scénario : </t>
  </si>
  <si>
    <t>PARTIELLE</t>
  </si>
  <si>
    <t>Indisponibilité</t>
  </si>
  <si>
    <t>du site</t>
  </si>
  <si>
    <t>Motif Criticité          :</t>
  </si>
  <si>
    <t>Motif Vulnérabilité  :</t>
  </si>
  <si>
    <t>Effets / Conséquences prévisibles</t>
  </si>
  <si>
    <t xml:space="preserve">Impacts production </t>
  </si>
  <si>
    <t>Moyens de prévention/protection complémentaires à mettre en place:</t>
  </si>
  <si>
    <t xml:space="preserve">- Mise en sécurité du personnel </t>
  </si>
  <si>
    <t xml:space="preserve">- Mise en sécurité des installations impactées </t>
  </si>
  <si>
    <t>- Traitement aspects production</t>
  </si>
  <si>
    <t>- Mise en œuvre plan d'urgence adapté</t>
  </si>
  <si>
    <r>
      <t xml:space="preserve">Analyse de l'événement </t>
    </r>
    <r>
      <rPr>
        <sz val="10"/>
        <rFont val="Arial"/>
        <family val="2"/>
      </rPr>
      <t>(Liste de diffusion)</t>
    </r>
  </si>
  <si>
    <t>- Analyse causes profondes</t>
  </si>
  <si>
    <t xml:space="preserve">- Préconisations pour éviter le renouvellement </t>
  </si>
  <si>
    <t>- Stratégie de remise en condition des installations</t>
  </si>
  <si>
    <t>Adresse</t>
  </si>
  <si>
    <t>PROCESSUS CRITIQUE</t>
  </si>
  <si>
    <t>Définition</t>
  </si>
  <si>
    <t>DIMA en sem.</t>
  </si>
  <si>
    <t>Action / Tâche</t>
  </si>
  <si>
    <t>Délai de remise en condition (semaines)</t>
  </si>
  <si>
    <t>Equipement principal concerné (Machines - pièces maîtresses, Contrôle Commande)</t>
  </si>
  <si>
    <t>Personnel Formé</t>
  </si>
  <si>
    <t>Personnel mini pour effectuer le travail sur le poste</t>
  </si>
  <si>
    <t>Délai de formation / remplacement</t>
  </si>
  <si>
    <t>Matières premières nécessaires</t>
  </si>
  <si>
    <t>Délai d'approv.</t>
  </si>
  <si>
    <t>ANALYSE DES RESSOURCES ASSOCIEES</t>
  </si>
  <si>
    <t>Dépendance interne         (au sein du Groupe)</t>
  </si>
  <si>
    <t>ELEMENTS DE CONTINUITE</t>
  </si>
  <si>
    <t>Equipement identique sur site</t>
  </si>
  <si>
    <t>Fonct. Dégradé possible</t>
  </si>
  <si>
    <t>Délai de mis en place Elmts de continuité</t>
  </si>
  <si>
    <t>Rappel circonstances et conséquences de l'événement</t>
  </si>
  <si>
    <t xml:space="preserve">1 - </t>
  </si>
  <si>
    <t>2 -</t>
  </si>
  <si>
    <t xml:space="preserve">3 - </t>
  </si>
  <si>
    <t>Cellule de gestion de crise</t>
  </si>
  <si>
    <t>- Mise en place cellule de gestion de crise, à partir du POI</t>
  </si>
  <si>
    <t>= M</t>
  </si>
  <si>
    <t>Grav</t>
  </si>
  <si>
    <t>.= G</t>
  </si>
  <si>
    <t>Fréq.</t>
  </si>
  <si>
    <t>= F</t>
  </si>
  <si>
    <t>Critique</t>
  </si>
  <si>
    <t>- Alerte membres extérieurs au site:</t>
  </si>
  <si>
    <t>numéro de téléphone utile lors du déclenchement PCA ou POI</t>
  </si>
  <si>
    <t>Fonction</t>
  </si>
  <si>
    <t>Service concerné</t>
  </si>
  <si>
    <t xml:space="preserve">Nom </t>
  </si>
  <si>
    <t>Prénom</t>
  </si>
  <si>
    <t xml:space="preserve">Téléphone </t>
  </si>
  <si>
    <t>Portable</t>
  </si>
  <si>
    <t>FAX</t>
  </si>
  <si>
    <t xml:space="preserve">Scénario n° </t>
  </si>
  <si>
    <t>Dedienne
Aerospace</t>
  </si>
  <si>
    <t>Mesures de prévention à mettre en place</t>
  </si>
  <si>
    <t>Effets de défaillances</t>
  </si>
  <si>
    <t>Sinistre</t>
  </si>
  <si>
    <t>Rongeurs</t>
  </si>
  <si>
    <t>Rappel moyens de maîtrise déjà existants</t>
  </si>
  <si>
    <t>Description succinte d'un scénario plausibles (ou causes défaillance)</t>
  </si>
  <si>
    <t>Panne électrique</t>
  </si>
  <si>
    <t xml:space="preserve">- Panne du fournisseur électrique
- Le réseau interne disjoncte
</t>
  </si>
  <si>
    <t>Système IT</t>
  </si>
  <si>
    <t>- L'utilisateur a perdu son mot de passe
- L'utilisateur essai de se loguer avec un nom utilisateur faux
- Le poste utilisateur n'est pas connecté au réseau
- Les serveurs d'authentification sont KO
- Le réseau est en panne</t>
  </si>
  <si>
    <t>- Le ou les utilisateurs ne peuvent pas se connecter au poste informatique.
- Perte de productivité
- Pas d'activité informatique</t>
  </si>
  <si>
    <t xml:space="preserve">- Plus d'accès :
     * Internet
     * VPN
     * Site distant ko
     * Accès DMZ
     * Téléphonie </t>
  </si>
  <si>
    <t>- Route non prévu
- Test pas assez poussé
- Evolution d'un service ou agence distante</t>
  </si>
  <si>
    <t xml:space="preserve">- Contrats d'assistance FW / Cœur de réseau
- Analyse plus poussée lors de la mise en place d'un service
- Test plus performant
</t>
  </si>
  <si>
    <t>Serveurs hdd hors service</t>
  </si>
  <si>
    <t>- Panne aléatoire imprévisible
- log non lu
- Pas de notification d'alerte disfonctionnement
- Pas de maintenance préventive</t>
  </si>
  <si>
    <t xml:space="preserve">- Ralentissement système informatique
- Micro coupure
- Mode dégradé </t>
  </si>
  <si>
    <t xml:space="preserve">- Contrats d'assistance Serveur
- Notification sur anomalie serveur
- Contrat maintenance préventive
- Hdd redondé
</t>
  </si>
  <si>
    <t>Espace disque insuffisant</t>
  </si>
  <si>
    <t>- Organisation des données
- Archivage des données
- Cycle de vie des données
- Information utilisateur
- Surveillance système (alerte sur espace manquant)
- Plus de place pour ajouter des hdd</t>
  </si>
  <si>
    <t>- Organisation des données de chaque service (projet)
- Procédure archivage données
- Notification sur occupation disque
- Documentation utilisateur
- Cycle de vie de la donnée (suppression, archivage)
- Prévoir place pour ajouter des hdd
- Communication</t>
  </si>
  <si>
    <t>- Pas d'analyse de log régulièrement
- Notification sur erreur matériel serveur
- Pas de maintenance préventive</t>
  </si>
  <si>
    <t>- Contrat d'assistance préventive
- Notification alerte sur matériel
- Procédure mode dégradé
- Pra
- Contrat d'assistance matériel serveur</t>
  </si>
  <si>
    <t>Mémoire (manque)</t>
  </si>
  <si>
    <t>- Lenteur système / application métier
- Pas d'évolution possible (ajout VM)</t>
  </si>
  <si>
    <t>Processeur (100%)</t>
  </si>
  <si>
    <t>- Surexploitation du serveur
- Sous dimensionné
- Processeur peu performant</t>
  </si>
  <si>
    <t>- Lenteur système / application métier
- Traitement plus long
- Plainte utilisateurs
- Image du SI</t>
  </si>
  <si>
    <t>- Double alimentation matériel
- Contrat assistance constructeur
- Salle informatique fermé
- Réseau électrique ondulé
- Pas soumis à la poussière</t>
  </si>
  <si>
    <t>Alimentation (matériel infrastructure SI)</t>
  </si>
  <si>
    <t>- Serveur infrastructure SI en panne
- Mode dégradé 
- Certaines applications en panne
- Plainte utilisateurs</t>
  </si>
  <si>
    <t>Sauvegarde (erreur / en panne)</t>
  </si>
  <si>
    <t>- Panne logiciel
- Problème de stockage (panne stockage)
- Problème de stockage (plus de place)
- Matériel vieillissant</t>
  </si>
  <si>
    <t>- Incapacité de restaure un fichier
- Incapacité de restaurer une VM
- Perte possible de données
- Perte possible d'un ou des systèmes</t>
  </si>
  <si>
    <t>- Contrat assistance matériel
- Contrat assistance prestataire
- Contrat assistance logiciel
- Archivage
- Remplacement système</t>
  </si>
  <si>
    <t>- Problème réplication VM
- Problème réseau (physique)
- Problème route réseau (logique)
- Problème Veeam backup</t>
  </si>
  <si>
    <t>- Contrat assistance matériel
- Contrat assistance prestataire
- Contrat assistance logiciel
- Scénario bascule PRA
- Scénario retour à la normale
- Test régulier du bon fonctionnement</t>
  </si>
  <si>
    <t>PCA (fonctionnement)</t>
  </si>
  <si>
    <t>PRA (fonctionnement)</t>
  </si>
  <si>
    <t>- Serveur en panne : inaccessible ou partiellement
- Serveur en mode dégradé et aléatoire
     * Perte de performance
     * Perte de services
     * Perte d'accès (Données, Internet, Messagerie,…)</t>
  </si>
  <si>
    <t>- Matériel serveur redondé :
     * Alimentation, réseau, disque, mémoire
- Contrat assistance constructeur
- Contrat assistance prestataire
- Deux serveurs redondés
- Avoir un PRA</t>
  </si>
  <si>
    <t>Messagerie électronique (tout le monde)</t>
  </si>
  <si>
    <t>- Serveur prestataire en panne
- Panne accès Internet
- Panne firewall</t>
  </si>
  <si>
    <t>- Problème réseau
- Plus aucun accès aux services IT</t>
  </si>
  <si>
    <t>- Impossible de recevoir des mails
- Impossible d'envoyer des mails
- Plus de réservation de salle
- Plus d'invitation aux réunions
- Plus de mise à jour des réunions (si modification)</t>
  </si>
  <si>
    <t>- Contrat assistance prestataire office365
- Contrat assistance FW prestataire
- Connexion Internet redondé
- Garantie continuité de service Office365</t>
  </si>
  <si>
    <t>Service DHCP</t>
  </si>
  <si>
    <t>- Contrat assistance prestataire
- Enregistrement des logs
- Serveur secondaire prêt à prendre le relai</t>
  </si>
  <si>
    <t>Service Impression</t>
  </si>
  <si>
    <t>Service DNS</t>
  </si>
  <si>
    <t>- Impossible d'imprimer :
     * Ni pour Sage
     * Ni pour les autres activités</t>
  </si>
  <si>
    <t>- AD en panne
- Internet en panne
- Réseau local en panne
- impossible d'utiliser les service IT</t>
  </si>
  <si>
    <t>Active Directory en panne</t>
  </si>
  <si>
    <t xml:space="preserve">- Login session utilisateurs impossible
- Personne ne peut travailler sur l'outil informatique
</t>
  </si>
  <si>
    <t>RISQUES</t>
  </si>
  <si>
    <t>Sabotage (interne)</t>
  </si>
  <si>
    <t>Sécurité des données</t>
  </si>
  <si>
    <t>Perte / vol PC portable</t>
  </si>
  <si>
    <t>Perte / vol Smartphone entreprise</t>
  </si>
  <si>
    <t>- Pas de géolocalisation
- Pas de cryptage
- Inattention</t>
  </si>
  <si>
    <t>- Plus de suivi de communication
- Perte des contacts
- Plus de passerelle Internet 
- Possible perte de quelques informations sensibles</t>
  </si>
  <si>
    <t xml:space="preserve">- Divulgation information confidentiel (étude BE, secret fabrication, données stratégiques)
- Image de la société
- Concurrent avantagé </t>
  </si>
  <si>
    <t>Switch (panne)</t>
  </si>
  <si>
    <t>- Un partie des utilisateurs n'ont plus de réseau
- Une partie des utilisateurs n'ont plus accès au(x) serveur(s)</t>
  </si>
  <si>
    <t>Configuration (perte)</t>
  </si>
  <si>
    <t>- Plus de communication entre les réseaux virtuels
- Plus aucun service IT n'est accessible</t>
  </si>
  <si>
    <t>- Plus de communication Vlan
- Les postes ne peuvent plus communiquer avec les serveurs
- Plus aucun service IT fonctionne (impression, Internet, dossiers réseau,…)</t>
  </si>
  <si>
    <t>- Backup régulier des switch
- Contrat assistance matériel
- Contrat assistance logiciel
- Mise à jour Firmware</t>
  </si>
  <si>
    <t>Wan (Problème Interne)</t>
  </si>
  <si>
    <t>- Problème électrique DA
- Cable Routeur --&gt; FW</t>
  </si>
  <si>
    <t>VPN client (Tous les nomades)</t>
  </si>
  <si>
    <t>- Panne du FW
- Panne accès internet</t>
  </si>
  <si>
    <t xml:space="preserve">- Les nomades ne peuvent plus se connecter :
     * Aux données DA
     * A sage
</t>
  </si>
  <si>
    <t>- Contrat de maintenance matériel
- Contrat maintenance préventive, curative matériel
- Accès Internet de secours</t>
  </si>
  <si>
    <t>- Problème matériel de la borne
- Problème électrique
- Acte de malveillance : AP éteinte
- Cable réseau en panne
- Injecteur POE en panne
- Port du Switch bloqué ou switch en panne</t>
  </si>
  <si>
    <t>SSID Client, Internet ou Presta  (inaccessible)</t>
  </si>
  <si>
    <t>- Connexion impossible au Wifi
- Ni pour les utilisateurs DA, ni pour les clients ou les prestataires
- Productivité en baisse (pc portable en réunion,…)</t>
  </si>
  <si>
    <t>- Contrat assistance matériel
- Contrat assistance prestataire
- Backup configuration FW
- Maintenance préventive / curative</t>
  </si>
  <si>
    <t>Performance (tous les postes clients)</t>
  </si>
  <si>
    <t xml:space="preserve">- Une ou plusieurs personnes ne peuvent pas se connecter
- Déconnection sauvage
- Impossible de se connecter sur un VPN
</t>
  </si>
  <si>
    <t>- Information utilisateur
- Contrôle d'activité
- Piloter les demandes d'accès</t>
  </si>
  <si>
    <t>ERP inaccessible (tous les users)</t>
  </si>
  <si>
    <t>- Contrat assistance maintenance préventive Sage
- Contrat assistance exploitation Sage
- Contrat assistance sur l'infrastructure
- Contrat assistance réseau</t>
  </si>
  <si>
    <t>ERP lenteur (tout le monde)</t>
  </si>
  <si>
    <t>- Pas de maintenance préventive
- Pas de traitement par lot nettoyage bdd, transaction et log
- Pas de contrat de maintenance
- Lenteur réseau
- Problème performance VM</t>
  </si>
  <si>
    <t>Réseau informatique</t>
  </si>
  <si>
    <t>WIFI</t>
  </si>
  <si>
    <t>Logiciels métier</t>
  </si>
  <si>
    <t>Abaqus, Catia, Esprit ou Sage Inaccessible (utilisateur unique)</t>
  </si>
  <si>
    <t xml:space="preserve">- L'utilisateur ne peut pas travailler sur le logiciel métier
- Perte de productivité
- Possible retard sur le projet
</t>
  </si>
  <si>
    <t xml:space="preserve"> Abaqus, Catia, Esprit ou Sage --&gt; Pb performance</t>
  </si>
  <si>
    <t>- Le logiciel ne se lance pas
- Les calculs sont chronophages
- Les calculs n'aboutissent pas
- Il y a des messages d'erreur
- L'utilisateur ne veut plus utiliser ce poste ou logiciel
- Projet / livraison en retard</t>
  </si>
  <si>
    <t>- Veeam backup corrompu
- Problème système (Windows Serveur)
- Problème réseau
- Problème de place
- Problème de droits d'accès
- Bas de données : pb traitement</t>
  </si>
  <si>
    <t>Accessibilité</t>
  </si>
  <si>
    <t>Serveur données KO
     * Service serveur
     * Droits accès corrompu
     * Réseau VM ko
     * Données supprimées
- Mauvaise manipulation utilisateur
- Document pas à jour
- Groupe de sécurité</t>
  </si>
  <si>
    <t xml:space="preserve">- Vérifier que les données sont bien sauvegardés (veeam backup)
- Alerte sur évènement VM qui tombe
- Restauration rapide (VM)
- Contrat assistance infrastructure
</t>
  </si>
  <si>
    <t>Corruption de données</t>
  </si>
  <si>
    <t>Accès KO (authentification ko)</t>
  </si>
  <si>
    <t xml:space="preserve">- Poste sur le réseau
- Mot de passe changé (stratégie mot de passe)
- Droit d'accès à Internet (groupe de sécurité)
- Paramètre navigateur (Pb stratégie)
- Problème FW
</t>
  </si>
  <si>
    <t>Accès ko (Pb matériel)</t>
  </si>
  <si>
    <t>Accès KO (fournisseur d'accès en panne)</t>
  </si>
  <si>
    <t>- Problème fournisseur d'accès Internet</t>
  </si>
  <si>
    <t xml:space="preserve">- Internet inaccessible
     * Navigation ko
     * Outlook ko 
- Site  professionnel ko
- Site internationaux ne peuvent pas se connecter à Sage
</t>
  </si>
  <si>
    <t>INTERNET</t>
  </si>
  <si>
    <t>Rique BRUT</t>
  </si>
  <si>
    <t>= G*F</t>
  </si>
  <si>
    <t>MAIT</t>
  </si>
  <si>
    <t>= FxG/M</t>
  </si>
  <si>
    <t>Risque
RESIDUEL</t>
  </si>
  <si>
    <t>F = Fréquence d'exposition</t>
  </si>
  <si>
    <t>Détail</t>
  </si>
  <si>
    <t>Cotation</t>
  </si>
  <si>
    <t>Peu fréquent</t>
  </si>
  <si>
    <t>Fréquent</t>
  </si>
  <si>
    <t>Très fréquent</t>
  </si>
  <si>
    <t>G = Gravité</t>
  </si>
  <si>
    <t>Grave</t>
  </si>
  <si>
    <t>Très grave</t>
  </si>
  <si>
    <t>Risque min</t>
  </si>
  <si>
    <t>Risque max</t>
  </si>
  <si>
    <t>Priorité</t>
  </si>
  <si>
    <t>M = Niveau de maîtrise</t>
  </si>
  <si>
    <r>
      <rPr>
        <b/>
        <sz val="10"/>
        <color theme="1"/>
        <rFont val="Calibri"/>
        <family val="2"/>
        <scheme val="minor"/>
      </rPr>
      <t>Globalement maîtrisé</t>
    </r>
    <r>
      <rPr>
        <sz val="10"/>
        <color theme="1"/>
        <rFont val="Calibri"/>
        <family val="2"/>
        <scheme val="minor"/>
      </rPr>
      <t xml:space="preserve"> </t>
    </r>
  </si>
  <si>
    <t>Assez maîtrisé</t>
  </si>
  <si>
    <t>Peu maîtrisé</t>
  </si>
  <si>
    <t>Pas maîtrisé</t>
  </si>
  <si>
    <t>Rare/improbable</t>
  </si>
  <si>
    <t>inconnu de mémoire de salarié et/ou n'est pas apparu durant les 3 dernières années</t>
  </si>
  <si>
    <t>est arrivé épisodiquement durant les 3 dernières années</t>
  </si>
  <si>
    <t>est arrivé plusieurs fois durant les 3 dernières années</t>
  </si>
  <si>
    <t>Très faible:</t>
  </si>
  <si>
    <t>Modéré</t>
  </si>
  <si>
    <t>Très critique / vulnérable</t>
  </si>
  <si>
    <t>Non Critique / non vulnérable</t>
  </si>
  <si>
    <t>Non Critique</t>
  </si>
  <si>
    <t>Non critique / Non Vulnérable (Risque &lt; 3)</t>
  </si>
  <si>
    <t>Critique (3 &lt;= Risque &lt; 8)</t>
  </si>
  <si>
    <t>Très critique (Risque &gt;= 8)</t>
  </si>
  <si>
    <t>0,3</t>
  </si>
  <si>
    <t>0,05</t>
  </si>
  <si>
    <t>Accès partage (service, droit) Ko</t>
  </si>
  <si>
    <t>0,7</t>
  </si>
  <si>
    <t>- Coupure temporaire totale ou partielle du système
- Données inaccessible ou aléatoirement
- Application métier inaccessible ou partiellement
- Performance réduite ou nulle</t>
  </si>
  <si>
    <t>Virus Cyber</t>
  </si>
  <si>
    <t>Cyber attaques</t>
  </si>
  <si>
    <t xml:space="preserve">Pour chaque risque "CRITIQUE ET VULNERABLE", élaboration d'un scénario PCA.					</t>
  </si>
  <si>
    <t>Site de :</t>
  </si>
  <si>
    <t>Naturels</t>
  </si>
  <si>
    <t>Site non professionnel
site non à jour
hébergement non fiable
sécurisation non conforme</t>
  </si>
  <si>
    <t>vol de données
image société détériorée
perte de prospect</t>
  </si>
  <si>
    <t xml:space="preserve">absence courte et longue durée
charge non assurée
</t>
  </si>
  <si>
    <t xml:space="preserve">problème de support logiciel (temps de réponse)
problème d'exploitation (temps de réponse)
problème d'évolution du produit
problème de ressources humaines (congés)
</t>
  </si>
  <si>
    <t>- Problème financement
- Trop d'embauche sans en informé l'informatique
- Serveur de licence en panne</t>
  </si>
  <si>
    <t>- Certaines personnes ne peuvent pas se connecter
- La connexion impossible est aléatoire (un oui, l'autre non)
- Perte de productivité
- Peut générer des conflits entre services ou utilisateurs</t>
  </si>
  <si>
    <t xml:space="preserve">- internet en panne
- Service application en ligne en panne
- Problème réseau
</t>
  </si>
  <si>
    <t xml:space="preserve">- Contrat prestataire
- Contrat assistance réseau
- double connexion internet
</t>
  </si>
  <si>
    <t xml:space="preserve"> Contrat fournisseur d'accès pro
- Contrat assistance matériel FW
double accès internet avec double acheminement
</t>
  </si>
  <si>
    <t xml:space="preserve">
</t>
  </si>
  <si>
    <t>Risque BRUT</t>
  </si>
  <si>
    <t>Gel</t>
  </si>
  <si>
    <t>Risques</t>
  </si>
  <si>
    <t>Manque d'eau pour le site</t>
  </si>
  <si>
    <t>Rupture d'alimentation d'eau de ville</t>
  </si>
  <si>
    <t>Pas d'approvisionnement de MP et autre entrants pour la fabrication pour le site
Impossibilité d'expédier au Client ses produits</t>
  </si>
  <si>
    <t>Inondation</t>
  </si>
  <si>
    <t>Neige</t>
  </si>
  <si>
    <t>Fortes chuttes de neige pendant plusieurs jours</t>
  </si>
  <si>
    <t>Foudre</t>
  </si>
  <si>
    <t>Séisme</t>
  </si>
  <si>
    <t>Tremblement de terre</t>
  </si>
  <si>
    <t>L'usine subit plusieurs impacts
Capacité de production du site limitée
Retards de livraison Clients</t>
  </si>
  <si>
    <t>Destruction des bâtiments</t>
  </si>
  <si>
    <t>Technologiques</t>
  </si>
  <si>
    <t>Proximité zone industrielle</t>
  </si>
  <si>
    <t>Accidents</t>
  </si>
  <si>
    <t>Routier</t>
  </si>
  <si>
    <t>Chutte d'aéronef</t>
  </si>
  <si>
    <t>Electrique</t>
  </si>
  <si>
    <t>Gaz</t>
  </si>
  <si>
    <t>Rupture Appro</t>
  </si>
  <si>
    <t>Matières Premières</t>
  </si>
  <si>
    <t>Personne extérieure au site</t>
  </si>
  <si>
    <t>Explosion</t>
  </si>
  <si>
    <t>Internes</t>
  </si>
  <si>
    <t>Vieillissement des installations</t>
  </si>
  <si>
    <t>Sûreté</t>
  </si>
  <si>
    <t>Malveillance</t>
  </si>
  <si>
    <t>Dépendance vis-à-vis des Clients</t>
  </si>
  <si>
    <t>2</t>
  </si>
  <si>
    <t>Possibilité de faire une demande de dérogation pour éviter le non approvisionnement du site</t>
  </si>
  <si>
    <t>/</t>
  </si>
  <si>
    <t>Proximité Transport matières dangereuses</t>
  </si>
  <si>
    <t>La chute d'aéronef n'est pas retenue dans l'étude de dangers</t>
  </si>
  <si>
    <t>0</t>
  </si>
  <si>
    <t>On ne peut plus chauffer le bâtiment ni l'atelier (Gaz uniquement pour le confort)</t>
  </si>
  <si>
    <t>Bureaux en télétravail</t>
  </si>
  <si>
    <t>Maladie</t>
  </si>
  <si>
    <t>Pandémie COVID 19 alors que l'activité repart très fortement en 2022</t>
  </si>
  <si>
    <t>Grève</t>
  </si>
  <si>
    <t>Accès limité selon le tonnage, peut empêcher l'arrivée  de camion au sein du site</t>
  </si>
  <si>
    <t>Suite à de très fortes pluies sur plusieurs jours, Inondation de l'atelier par remontée de la nappe phréatique ou cours d'eau</t>
  </si>
  <si>
    <t>Dégâts sur le site
Capacité de production du site limitée
Retards de livraison Clients</t>
  </si>
  <si>
    <t xml:space="preserve">Le site dispose plusieurs fournisseurs de matière premières
</t>
  </si>
  <si>
    <t>Pas d'approvisionnement de MP et autre entrants pour la fabrication pour le site
Capacité de production du site limitée
Impossibilité d'expédier au Client ses produits
autonomie des stocks: faible</t>
  </si>
  <si>
    <t>Des orages violents s'abattent sur la région</t>
  </si>
  <si>
    <t>Grêle</t>
  </si>
  <si>
    <t>Coupure EDF qui se prolonge plusieurs heures en amont du poste de haute tension à partir duquel partent les lignes qui alimentent l'usine</t>
  </si>
  <si>
    <t>Un Client arrête de travailler avec Dedienne Aerospace</t>
  </si>
  <si>
    <t>L'activité s'arrête plusieurs mois
on ne peut plus livrer le client, pbs de sécurité ou non-conformité aux règlements en vigueur. Arrêt du processus de fabrication. Dommages irréversibles</t>
  </si>
  <si>
    <t>L'activité s'arrête quelques jours et jusqu'à une semaine
effet mineur que le Client peut déceler. Légère gêne du Client mais projet n'est pas compromis</t>
  </si>
  <si>
    <t>Une personne extérieure accède au site pendant le WE se blesse très gravement avec des outillages stockés à l'extérieur</t>
  </si>
  <si>
    <t>Voir pour demander des stocks déportés chez les distributeurs</t>
  </si>
  <si>
    <t>Rupture
fourniture
énergie /
Eau</t>
  </si>
  <si>
    <t>Eau</t>
  </si>
  <si>
    <t>Coup de pelleteuse et rupture d'alimentation sur une canalisation gaz extérieure à l'usine. Coupure totale de gaz sur le site.</t>
  </si>
  <si>
    <t>Coup de pelleteuse et rupture d'alimentation sur une canalisation d'eau. Rupture alimentation eau de ville</t>
  </si>
  <si>
    <t>Un fournisseur "X" nous annonce qu'il n'est plus en capacité de nous approvisionner en acier / alu.</t>
  </si>
  <si>
    <t>une personne extérieure accède au site dans le but de voler du matériel informatique</t>
  </si>
  <si>
    <t>Impact juridique: procès, amende...
La personne porte plainte conte Dedienne Aerospace
Production stoppée le temps de l'enquête
Impact sur l'image de Dedienne
Retards de livraison Clients</t>
  </si>
  <si>
    <t>Contamination des sols, nappes phréatiques, des sols et rejets de polluants dans l'atmosphère
Plaintes voisinage - Inspection DREAL
Activité stoppée temporairement
Impact sur l'image de Dedienne</t>
  </si>
  <si>
    <t>Manque de personnel (maladie / cas contact)
Retards livraisons
Vrai risque si toutes les personnes sont absentes à logistique: on expédie plus</t>
  </si>
  <si>
    <t>Le bâtiment et les voies de passage autour du site se dégradent</t>
  </si>
  <si>
    <t>Capacité de production du site limitée
Impossibilité de se faire livrer
Impossibilité d'expédier au Client ses produits
Risques d'accidents
autonomie des stocks: faible</t>
  </si>
  <si>
    <t>Pertes de licences
Perte d'activité
Perte de CA</t>
  </si>
  <si>
    <t>Mutiples Clients: compagnies aériennes, OEM, motoristes. Risque de dépendance très faible (bien que dépendant d'un seul secteur d'activité)
On est pas à plus de 30% d'activités pour à une licence</t>
  </si>
  <si>
    <t>Explosion au niveau du local de préparation peinture et départ de feu</t>
  </si>
  <si>
    <t>Atex: pas de zonage, d'étude matériel , pas de vérification d'adequation matérielle, pas de DRCPE (point identifié depuis 2016 et également par les assureurs).</t>
  </si>
  <si>
    <t>Décision le lundi 3 janvier sur organisation</t>
  </si>
  <si>
    <t>Vol de PC et de données
Pas de vidéosurveillance
Pas d'accueil actuellement
Porte de la cantine ouverte en permanence
Pas de protection physique des fenêtres à l'extérieur</t>
  </si>
  <si>
    <t>Se renseigner avec EDF pour connaitre le type d'alimentation, de distribution, sur le back up possible si pb avec le transfo</t>
  </si>
  <si>
    <t>Plus d'eau sur le site pour les activités, personnel
Pas d'eau si incendie
Pas d'autonomie en eau</t>
  </si>
  <si>
    <t>Se renseigner si effectivement la bâche à eau incendie va être enlevée ou pas</t>
  </si>
  <si>
    <t>Personnel mécontent, mouvement de grève</t>
  </si>
  <si>
    <t>Capacité de production du site limitée
Retards de livraison Clients
Mauvaise image Dedienne</t>
  </si>
  <si>
    <t>Climat social appaisé
Des réunions régulières Direction/salariés</t>
  </si>
  <si>
    <t>Un accident de la circulation condamne durant plusieurs heures l'accès au site par la rue Pierre &amp; Marie Curie</t>
  </si>
  <si>
    <t xml:space="preserve">Protection manuelle: extincteur: 20
Extinction automatique: bonbonne d'extinction dans l'armoire aérosols
Plan d'urgence est rédigé
Coordinateur du plan d'urgence
</t>
  </si>
  <si>
    <t>Le camion Chimirec transportant des produits chimiques dangereux soumis ADR se renverse sur la rue Pierre &amp; Marie Curie</t>
  </si>
  <si>
    <t>Deuxième accès</t>
  </si>
  <si>
    <t>1</t>
  </si>
  <si>
    <t>Départ de feu suite à un défaut électrique sur le site un dimanche en l’absence de personnel. Le feu prend rapidement à l’ensemble des racks et produits conditionnés dans des valises plastique, et se développe à la mezzanine. Le feu se propage à 
l’ensemble de l’atelier, puis vers la zone administrative par la toiture.</t>
  </si>
  <si>
    <t>Impossibilité d'expédier au Client ses produits</t>
  </si>
  <si>
    <t>Manque d'eau pour le site
Unité de travail netttoyage stoppée</t>
  </si>
  <si>
    <t xml:space="preserve">Géorisques Paris: exposition très faible (1) </t>
  </si>
  <si>
    <r>
      <rPr>
        <b/>
        <sz val="10"/>
        <rFont val="Arial"/>
        <family val="2"/>
      </rPr>
      <t>Géorisques LE GARRIC</t>
    </r>
    <r>
      <rPr>
        <sz val="10"/>
        <rFont val="Arial"/>
        <family val="2"/>
      </rPr>
      <t xml:space="preserve">
Localisation située dans un territoire à risque important d'innondation:</t>
    </r>
    <r>
      <rPr>
        <b/>
        <sz val="10"/>
        <rFont val="Arial"/>
        <family val="2"/>
      </rPr>
      <t xml:space="preserve"> non</t>
    </r>
    <r>
      <rPr>
        <sz val="10"/>
        <rFont val="Arial"/>
        <family val="2"/>
      </rPr>
      <t xml:space="preserve">
Localisation exposée à un atlas de zone inondable: </t>
    </r>
    <r>
      <rPr>
        <b/>
        <sz val="10"/>
        <rFont val="Arial"/>
        <family val="2"/>
      </rPr>
      <t>non</t>
    </r>
  </si>
  <si>
    <t xml:space="preserve">Le personnel ne peut pas venir travailler sur le site
Impossibilité d'expédier au Client ses produits
</t>
  </si>
  <si>
    <t>Les épisodes neigeux font l'objet de bulletins d'alerte émis quelques jours avant par Météo France .</t>
  </si>
  <si>
    <t>L'acitivité s'arrête quelques heures jusqu'à 1 journée. Effets minimes, le Client ne s'en apperçoit pas, pas d'incidences sur la production.Aucun impact.</t>
  </si>
  <si>
    <t>Facteur déclenchant le risque est parfaitement maîtrisé. Solution de rechange immédiatement opérationnelle, historique quasiment vierge…</t>
  </si>
  <si>
    <t>Risque signalé ou connu, la solution de rechange n'est pas éprouvée</t>
  </si>
  <si>
    <t>Aucun moyen de prévention ni de protection, absence de solution alternative</t>
  </si>
  <si>
    <t>Il existe des une solution de secours adaptée.
Plan d'action 80%</t>
  </si>
  <si>
    <t>Le bâtiment Dedienne est évacué temporairement
Arrêt de l'activité temporairement</t>
  </si>
  <si>
    <t>Canicule</t>
  </si>
  <si>
    <t>Période de forte chaleur durant l'état qui dure plusieurs semaines</t>
  </si>
  <si>
    <t>Dégâts importants pour les personnes sensibles
Capacité de production du site limitée
Retards de livraison Clients</t>
  </si>
  <si>
    <t>Atelier: les salariés viennent travailler le matin quand il fait trop chaud, consignes par les responsables d'ilots. Pauses plus régulières
Bureau: climatisation dans les bureaux</t>
  </si>
  <si>
    <t>Plan canicule depuis 2006 entre le 1er juin et le 31 août</t>
  </si>
  <si>
    <t>Plan canicule depuis 2006 entre le 1er juin et le 31 août
Plan Départemental d'alerte métérologique</t>
  </si>
  <si>
    <t>Voir sites METEORAGE et Plan Départemental d'alerte métérologique</t>
  </si>
  <si>
    <r>
      <rPr>
        <b/>
        <sz val="10"/>
        <rFont val="Arial"/>
        <family val="2"/>
      </rPr>
      <t>Plus d'informations:</t>
    </r>
    <r>
      <rPr>
        <sz val="10"/>
        <rFont val="Arial"/>
        <family val="2"/>
      </rPr>
      <t xml:space="preserve">
- Risque innondation et ma commune: http://www.prim.net/
- Carte de vigilance crue: http://www.vigicrues.ecologie.gouv.fr/
- Plan Départemental d'alerte métérologique
</t>
    </r>
  </si>
  <si>
    <r>
      <rPr>
        <b/>
        <sz val="10"/>
        <rFont val="Arial"/>
        <family val="2"/>
      </rPr>
      <t>Géorisques Le GARRIC</t>
    </r>
    <r>
      <rPr>
        <sz val="10"/>
        <rFont val="Arial"/>
        <family val="2"/>
      </rPr>
      <t xml:space="preserve">: exposition très faible (1) </t>
    </r>
  </si>
  <si>
    <t>Aucune maitrise le soir et le WE
Impact juridique: procès, amende...
La personne porte plainte contre Dedienne Aerospace
Production stoppée le temps de l'enquête
Impact sur l'image de Dedienne
Retards de livraison Clients</t>
  </si>
  <si>
    <t>Back up: la production pourra être transférée sur Toulouse</t>
  </si>
  <si>
    <t>L’atelier est composé d’une structure métallique (poteaux-poutres) avec un bardage métallique
L’ensemble de la structure de la zone administrative est composé d’un ensemble bétonné, avec bardages maçonnés et métalliques en fonction de la face (agissant comme un système de conducteur de descente).
Back up: la production pourra être transférée sur Toulouse</t>
  </si>
  <si>
    <r>
      <rPr>
        <sz val="10"/>
        <rFont val="Arial"/>
        <family val="2"/>
      </rPr>
      <t>Atelier de production: structure métallique, bardage métallique double-peau 
(isolation à confirmer). 
Toiture en charpente métallique, bardage métallique, et isolation bitumineuse</t>
    </r>
    <r>
      <rPr>
        <sz val="10"/>
        <color rgb="FFFF0000"/>
        <rFont val="Arial"/>
        <family val="2"/>
      </rPr>
      <t xml:space="preserve">. 
</t>
    </r>
    <r>
      <rPr>
        <sz val="10"/>
        <color theme="1"/>
        <rFont val="Arial"/>
        <family val="2"/>
      </rPr>
      <t>Back up: la production pourra être transférée sur Toulouse</t>
    </r>
  </si>
  <si>
    <t>Rue condamnée pendant quelques jours</t>
  </si>
  <si>
    <t>Rue condamnée pendant quelques heures</t>
  </si>
  <si>
    <t>Projet d'extension pour le site du Garric en étude depuis quelques années</t>
  </si>
  <si>
    <t>Portique de test très veillissant ne fonctionne plus</t>
  </si>
  <si>
    <t>Ponts roulants très vieillissants ne fonctionnent plus, les pièces de rechange n'existent plus (info depuis un an)</t>
  </si>
  <si>
    <t xml:space="preserve">Produits sur rétention
</t>
  </si>
  <si>
    <t>En journée, toujours du monde dans l'atelier, bureaux
La nuit et le WE, alarme, portail automatique fermé
Ronde de la gendarmerie</t>
  </si>
  <si>
    <t>Vol de PC et de données
Pas de vidéosurveillance
Pas d'alarme
(Historique LE GARRIC: vol de PC 1 fois en 30 ans)</t>
  </si>
  <si>
    <t>Rappels faits quand la situation se dégrade
Mettre en place des procédures internes et sensiblisation du stockage des déchets à l'extérieur du site en attendant que CHIMIREC passe
Prévoir des rotations plus fréquentes, trop lentes sur Le Garric, à voir avec Ludo et Bénédicte</t>
  </si>
  <si>
    <t>Les déchets des huiles usagées et pots de peintures sont mal stockés à l'extérieur du site en attendant le passage de CHIMIREC et se déversent.</t>
  </si>
  <si>
    <t xml:space="preserve">Pour chaque risque "TRES CRITIQUE, CRITIQUE ET VULNERABLE", élaboration d'un scénario PCA.					</t>
  </si>
  <si>
    <t xml:space="preserve">Pour chaque risque "TRES CRITIQUE, CRITIQUE ET VULNERABLE", élaboration d'un scénario PCA.				</t>
  </si>
  <si>
    <t>Capacité de production du site limitée
Impossibilité de se faire livrer
Impossibilité d'expédier au Client ses produits
Risques d'accidents</t>
  </si>
  <si>
    <t>Voir avec P.PILLOUD si les ponts roulants sont en plan d'investissement</t>
  </si>
  <si>
    <t xml:space="preserve">Fuite d'eau au niveau de la toiture qui entraine un dégât des eaux. Présence d'amiante.
La Société de réparation doit être agrée pour l'amiante et n'aime pas bricoler sur le toit car ils génèrent d'autres fuites.
</t>
  </si>
  <si>
    <t>Pas de détection incendie sur site
Pas de détection gaz
Poteau incendie public testé mais on ne sait pas si le débit est adéquat (considéré hors service)
Le poteau incendie n'est pas accessible</t>
  </si>
  <si>
    <t>Demander les caratéristiques hydrauliques des poteaux incendie à la commune
Revoir le Plan d'Urgence LE GARRIC</t>
  </si>
  <si>
    <t>Back up: la production pourra être transférée sur Toulouse
VGP annuelles</t>
  </si>
  <si>
    <t>Non disponibilité d'une ressource humaine clé</t>
  </si>
  <si>
    <t>SAS Hydro Extrusion ALBI, ICPE à Autorisation, IED. Rubriques 3260, 2566, 2565</t>
  </si>
  <si>
    <r>
      <t xml:space="preserve">Géorisques Le GARRIC:
</t>
    </r>
    <r>
      <rPr>
        <sz val="10"/>
        <rFont val="Arial"/>
        <family val="2"/>
      </rPr>
      <t>Dernière inspection DREAL SAS HYDRO EXTRUSION le 12/12/2019</t>
    </r>
    <r>
      <rPr>
        <b/>
        <sz val="10"/>
        <rFont val="Arial"/>
        <family val="2"/>
      </rPr>
      <t xml:space="preserve">
</t>
    </r>
  </si>
  <si>
    <r>
      <rPr>
        <b/>
        <sz val="10"/>
        <rFont val="Arial"/>
        <family val="2"/>
      </rPr>
      <t>Géorisques VILLAROCHE</t>
    </r>
    <r>
      <rPr>
        <sz val="10"/>
        <rFont val="Arial"/>
        <family val="2"/>
      </rPr>
      <t xml:space="preserve">
Localisation située dans un territoire à risque important d'innondation:</t>
    </r>
    <r>
      <rPr>
        <b/>
        <sz val="10"/>
        <rFont val="Arial"/>
        <family val="2"/>
      </rPr>
      <t xml:space="preserve"> NON</t>
    </r>
    <r>
      <rPr>
        <sz val="10"/>
        <rFont val="Arial"/>
        <family val="2"/>
      </rPr>
      <t xml:space="preserve">
Localisation exposée à un atlas de zone inondable: </t>
    </r>
    <r>
      <rPr>
        <b/>
        <sz val="10"/>
        <rFont val="Arial"/>
        <family val="2"/>
      </rPr>
      <t>NON</t>
    </r>
    <r>
      <rPr>
        <sz val="10"/>
        <rFont val="Arial"/>
        <family val="2"/>
      </rPr>
      <t xml:space="preserve">
</t>
    </r>
    <r>
      <rPr>
        <b/>
        <sz val="10"/>
        <rFont val="Arial"/>
        <family val="2"/>
      </rPr>
      <t xml:space="preserve">Site back up possible: </t>
    </r>
    <r>
      <rPr>
        <sz val="10"/>
        <rFont val="Arial"/>
        <family val="2"/>
      </rPr>
      <t>SAFRAN bâtiment 33 pour les bâtis</t>
    </r>
  </si>
  <si>
    <t>Le camion Chimirec transportant des produits chimiques dangereux soumis ADR se renverse sur la rue. Celle-ci est condamnée pendant plusieurs jours</t>
  </si>
  <si>
    <t>Autres accès possibles</t>
  </si>
  <si>
    <t>Un accident de la circulation condamne durant plusieurs heures l'accès au site</t>
  </si>
  <si>
    <t>Zone aéroporturaire fermée et surveillée
Badge nécessaire pour rentrer sur le site</t>
  </si>
  <si>
    <t>Un avion décollant de l'aéroport de l'aérodrome de Villaroche s'écrase sur l'établissement</t>
  </si>
  <si>
    <r>
      <rPr>
        <b/>
        <sz val="10"/>
        <rFont val="Arial"/>
        <family val="2"/>
      </rPr>
      <t xml:space="preserve">Contrat BATIS: </t>
    </r>
    <r>
      <rPr>
        <sz val="10"/>
        <rFont val="Arial"/>
        <family val="2"/>
      </rPr>
      <t xml:space="preserve">stock entre 20 et 30 continuellement chez SAFRAN.
</t>
    </r>
    <r>
      <rPr>
        <b/>
        <sz val="10"/>
        <rFont val="Arial"/>
        <family val="2"/>
      </rPr>
      <t xml:space="preserve">Contrat CONTENER: </t>
    </r>
    <r>
      <rPr>
        <sz val="10"/>
        <rFont val="Arial"/>
        <family val="2"/>
      </rPr>
      <t xml:space="preserve">chez SAFRAN bâtiment 33 donc pas d'impact
</t>
    </r>
    <r>
      <rPr>
        <b/>
        <sz val="10"/>
        <rFont val="Arial"/>
        <family val="2"/>
      </rPr>
      <t>Site back up possible</t>
    </r>
    <r>
      <rPr>
        <sz val="10"/>
        <rFont val="Arial"/>
        <family val="2"/>
      </rPr>
      <t>: SAFRAN bâtiment 33 pour les bâtis</t>
    </r>
  </si>
  <si>
    <r>
      <rPr>
        <b/>
        <sz val="10"/>
        <rFont val="Arial"/>
        <family val="2"/>
      </rPr>
      <t xml:space="preserve">Contrat BATIS: </t>
    </r>
    <r>
      <rPr>
        <sz val="10"/>
        <rFont val="Arial"/>
        <family val="2"/>
      </rPr>
      <t xml:space="preserve">stock entre 20 et 30 continuellement chez SAFRAN.
</t>
    </r>
    <r>
      <rPr>
        <b/>
        <sz val="10"/>
        <rFont val="Arial"/>
        <family val="2"/>
      </rPr>
      <t>Site back up possible</t>
    </r>
    <r>
      <rPr>
        <sz val="10"/>
        <rFont val="Arial"/>
        <family val="2"/>
      </rPr>
      <t xml:space="preserve">: SAFRAN bâtiment 33 pour les bâtis &amp; Toulouse si besoin
</t>
    </r>
    <r>
      <rPr>
        <b/>
        <sz val="10"/>
        <rFont val="Arial"/>
        <family val="2"/>
      </rPr>
      <t>Contrat CONTENER:</t>
    </r>
    <r>
      <rPr>
        <sz val="10"/>
        <rFont val="Arial"/>
        <family val="2"/>
      </rPr>
      <t xml:space="preserve"> chez SAFRAN bâtiment 33 donc pas d'impact</t>
    </r>
  </si>
  <si>
    <t>Julien GARNIER, le Responsable du Site de Villaroche est en congés maladie prolongé</t>
  </si>
  <si>
    <t>est arrivé une ou plusieurs fois dans l'année</t>
  </si>
  <si>
    <r>
      <t xml:space="preserve">Tout le bâtiment est composé d’une structure métallique (poteaux-poutres) avec des bardages maçonnés et métalliques en fonction de la face (agissant comme un système de conducteur de descente).
</t>
    </r>
    <r>
      <rPr>
        <b/>
        <sz val="10"/>
        <rFont val="Arial"/>
        <family val="2"/>
      </rPr>
      <t>Contrat BATIS:</t>
    </r>
    <r>
      <rPr>
        <sz val="10"/>
        <rFont val="Arial"/>
        <family val="2"/>
      </rPr>
      <t xml:space="preserve"> stock entre 20 et 30 continuellement chez SAFRAN.
</t>
    </r>
    <r>
      <rPr>
        <b/>
        <sz val="10"/>
        <rFont val="Arial"/>
        <family val="2"/>
      </rPr>
      <t>Contrat CONTENER:</t>
    </r>
    <r>
      <rPr>
        <sz val="10"/>
        <rFont val="Arial"/>
        <family val="2"/>
      </rPr>
      <t xml:space="preserve"> chez SAFRAN bâtiment 33 donc pas d'impact
</t>
    </r>
    <r>
      <rPr>
        <b/>
        <sz val="10"/>
        <rFont val="Arial"/>
        <family val="2"/>
      </rPr>
      <t>Site back up possible:</t>
    </r>
    <r>
      <rPr>
        <sz val="10"/>
        <rFont val="Arial"/>
        <family val="2"/>
      </rPr>
      <t xml:space="preserve"> SAFRAN bâtiment 33 pour les bâtis</t>
    </r>
  </si>
  <si>
    <r>
      <rPr>
        <b/>
        <sz val="10"/>
        <rFont val="Arial"/>
        <family val="2"/>
      </rPr>
      <t xml:space="preserve">Hypothèse: </t>
    </r>
    <r>
      <rPr>
        <sz val="10"/>
        <rFont val="Arial"/>
        <family val="2"/>
      </rPr>
      <t xml:space="preserve">toiture en charpente métallique, bardage métallique, et isolation bitumineuse. 
</t>
    </r>
    <r>
      <rPr>
        <b/>
        <sz val="10"/>
        <rFont val="Arial"/>
        <family val="2"/>
      </rPr>
      <t>Contrat BATIS:</t>
    </r>
    <r>
      <rPr>
        <sz val="10"/>
        <rFont val="Arial"/>
        <family val="2"/>
      </rPr>
      <t xml:space="preserve"> stock entre 20 et 30 continuellement chez SAFRAN.
</t>
    </r>
    <r>
      <rPr>
        <b/>
        <sz val="10"/>
        <rFont val="Arial"/>
        <family val="2"/>
      </rPr>
      <t>Contrat CONTENER:</t>
    </r>
    <r>
      <rPr>
        <sz val="10"/>
        <rFont val="Arial"/>
        <family val="2"/>
      </rPr>
      <t xml:space="preserve"> chez SAFRAN bâtiment 33 donc pas d'impact
</t>
    </r>
    <r>
      <rPr>
        <b/>
        <sz val="10"/>
        <rFont val="Arial"/>
        <family val="2"/>
      </rPr>
      <t>Site back up possible:</t>
    </r>
    <r>
      <rPr>
        <sz val="10"/>
        <rFont val="Arial"/>
        <family val="2"/>
      </rPr>
      <t xml:space="preserve"> SAFRAN bâtiment 33 pour les bâtis</t>
    </r>
  </si>
  <si>
    <r>
      <rPr>
        <b/>
        <sz val="10"/>
        <rFont val="Arial"/>
        <family val="2"/>
      </rPr>
      <t>Plus d'informations:</t>
    </r>
    <r>
      <rPr>
        <sz val="10"/>
        <rFont val="Arial"/>
        <family val="2"/>
      </rPr>
      <t xml:space="preserve">
- Risque innondation et ma commune: http://www.prim.net/
- Carte de vigilance crue: http://www.vigicrues.ecologie.gouv.fr/
- Plan Départemental d'alerte métérologique
</t>
    </r>
    <r>
      <rPr>
        <b/>
        <sz val="10"/>
        <rFont val="Arial"/>
        <family val="2"/>
      </rPr>
      <t>Projet de construction d'un nouveau bâtiment Dedienne Aerospace</t>
    </r>
    <r>
      <rPr>
        <sz val="10"/>
        <rFont val="Arial"/>
        <family val="2"/>
      </rPr>
      <t xml:space="preserve">
</t>
    </r>
  </si>
  <si>
    <t xml:space="preserve">Les épisodes neigeux font l'objet de bulletins d'alerte émis quelques jours avant par Météo France .
</t>
  </si>
  <si>
    <r>
      <t xml:space="preserve">Voir sites METEORAGE et Plan Départemental d'alerte métérologique
</t>
    </r>
    <r>
      <rPr>
        <b/>
        <sz val="10"/>
        <rFont val="Arial"/>
        <family val="2"/>
      </rPr>
      <t>Projet de construction d'un nouveau bâtiment Dedienne Aerospace</t>
    </r>
  </si>
  <si>
    <t>Mise en place un stockage exceptionnel dans le bâtiment 33 chez safran pendant la période de réfection de la route</t>
  </si>
  <si>
    <r>
      <rPr>
        <b/>
        <sz val="10"/>
        <rFont val="Arial"/>
        <family val="2"/>
      </rPr>
      <t>Janvier 2022 suite à annonce C.BARBE:</t>
    </r>
    <r>
      <rPr>
        <sz val="10"/>
        <rFont val="Arial"/>
        <family val="2"/>
      </rPr>
      <t xml:space="preserve">
- Application des gestes barrières obligatoires pour tous &amp;  aération des locaux
- Cantine: manger en quiconce
</t>
    </r>
    <r>
      <rPr>
        <b/>
        <sz val="10"/>
        <rFont val="Arial"/>
        <family val="2"/>
      </rPr>
      <t>Si la situation se dégrade, prévoir:</t>
    </r>
    <r>
      <rPr>
        <sz val="10"/>
        <rFont val="Arial"/>
        <family val="2"/>
      </rPr>
      <t xml:space="preserve">
- Atelier : équipe du matin et après midi sans jamais se croiser
- Bureaux: utilisation de tout l'espace disponible pour déconcentrer les zones de bureau ou télétravail dans la mesure du possible
</t>
    </r>
  </si>
  <si>
    <t xml:space="preserve">Les eaux de lavage des stands et conteners ne sont pas stockées dans les bidons prévus à cet effet car le supresseur n'est pas installé. Les eaux sales se répandent sur le sol
</t>
  </si>
  <si>
    <t>En journée, toujours du monde dans l'atelier, bureaux
La nuit et le WE, alarme
Zone aéroporturaire fermée et surveillée
Badge nécessaire pour rentrer sur le site</t>
  </si>
  <si>
    <t>Désorganisation du site</t>
  </si>
  <si>
    <t>Absence de la ressource clé ERP: pas de back up administrateur</t>
  </si>
  <si>
    <t>Indisponibilité d'une ressource humaine clé</t>
  </si>
  <si>
    <t>Ruputre des têtes de câbles HTA (appartenant à DA) suite à usure provocant un court circuit, le transformateur n'est plus alimenté</t>
  </si>
  <si>
    <t>Historique: 
Date des travaux = 29-04-2016
Nature des travaux = Changement têtes HTA + nouvelle liaison jusqu’au transformateur
Production arrêtée</t>
  </si>
  <si>
    <t>Intégré dans le plan d'investissement, revu tous les ans
Délai: juin 2022, des devis reçus en 2020 (CEGELEC / ENEDIS) à faire réactualiser post covid</t>
  </si>
  <si>
    <r>
      <t>Coupure EDF qui se prolonge plusieurs heures en amont du poste de haute tension à partir duquel partent les lignes qui alimentent l'usine</t>
    </r>
    <r>
      <rPr>
        <sz val="10"/>
        <color rgb="FFFF0000"/>
        <rFont val="Arial"/>
        <family val="2"/>
      </rPr>
      <t xml:space="preserve">
</t>
    </r>
  </si>
  <si>
    <t>Organisation prévue en cas d'absence de J.GARNIER:
- Atelier: J MARCOUX
- Administratif: M.A GNALI
+ présence obligatoire d'un SAV Toulouse sur Paris pour gérer l'aspect commercial</t>
  </si>
  <si>
    <t>Du point de vue administratif: solution à trouver car M.A GNALI  est en stage pour 6 mois. Il faut voir les tâches qu'Arnaud pourra récupérer et celles qui doivent être transmises obligatoirement à une personne sur place*
Formation à prévoir tant que Marie-Ange est là.
Recrutement d'un des 2 PMO?</t>
  </si>
  <si>
    <t>Atelier: pauses règulières
Bureau: climatisation dans les bureaux</t>
  </si>
  <si>
    <t>Le tranformateur appartenant à la SYMPAV est veillissant (30 ans) et ne fonctionne plus.</t>
  </si>
  <si>
    <t>Impossible de produire et travailler
Impossible de livrer le matériel au Client</t>
  </si>
  <si>
    <t>Destruction du bâtiment
SAV impossible</t>
  </si>
  <si>
    <r>
      <t xml:space="preserve">Protection manuelle: 21 extincteurs portatifs sur l'ensemble du site
</t>
    </r>
    <r>
      <rPr>
        <sz val="10"/>
        <color theme="1"/>
        <rFont val="Arial"/>
        <family val="2"/>
      </rPr>
      <t xml:space="preserve">2 Détecteurs DAAF </t>
    </r>
    <r>
      <rPr>
        <sz val="10"/>
        <rFont val="Arial"/>
        <family val="2"/>
      </rPr>
      <t xml:space="preserve">de fumée couloir et cuisine
Alarme Incendie
Réserve d'eau incendie de 120m3
</t>
    </r>
    <r>
      <rPr>
        <sz val="10"/>
        <color rgb="FFFF0000"/>
        <rFont val="Arial"/>
        <family val="2"/>
      </rPr>
      <t xml:space="preserve"> 
</t>
    </r>
    <r>
      <rPr>
        <b/>
        <sz val="10"/>
        <rFont val="Arial"/>
        <family val="2"/>
      </rPr>
      <t>Contrat BATIS:</t>
    </r>
    <r>
      <rPr>
        <sz val="10"/>
        <rFont val="Arial"/>
        <family val="2"/>
      </rPr>
      <t xml:space="preserve"> stock entre 20 et 30 continuellement chez SAFRAN.
</t>
    </r>
    <r>
      <rPr>
        <b/>
        <sz val="10"/>
        <rFont val="Arial"/>
        <family val="2"/>
      </rPr>
      <t>Site back up possible</t>
    </r>
    <r>
      <rPr>
        <sz val="10"/>
        <rFont val="Arial"/>
        <family val="2"/>
      </rPr>
      <t xml:space="preserve">: SAFRAN bâtiment 33 pour les bâtis &amp; Toulouse si besoin
</t>
    </r>
    <r>
      <rPr>
        <b/>
        <sz val="10"/>
        <rFont val="Arial"/>
        <family val="2"/>
      </rPr>
      <t xml:space="preserve">Contrat CONTENER: </t>
    </r>
    <r>
      <rPr>
        <sz val="10"/>
        <rFont val="Arial"/>
        <family val="2"/>
      </rPr>
      <t>chez SAFRAN bâtiment 33 donc pas d'impact</t>
    </r>
  </si>
  <si>
    <t>Formation de 2 équipiers de première intervention
Faire une sensibilisation guide file / Serre File
Exercice Incendie à prévoir
Monsieur BILLAT (Responsable Technique de l'aérodrome de Villaroche) va demander à un pompier de l'aérodrome de passer voir le bâtiment 8</t>
  </si>
  <si>
    <t>Environnementaux
Rejet Pollution</t>
  </si>
  <si>
    <t>Assurance MARSH: Alimentation et distribtion inconnue
Back up partiel 
Peu d'historique du fait qu'il n'y a plus de Responsable maintenance
Pas d'electricité pour travailler
Activitée stopée</t>
  </si>
  <si>
    <t xml:space="preserve">Alimentation Unique
Distribution en antenne (le réseau HT1 dépend d'un poste relais qui est lui-même raccordé en antenne sur 100 mètres)
Pas de back up
Pas d'electricité pour travailler
Activitée stopée
</t>
  </si>
  <si>
    <r>
      <t xml:space="preserve">VGP annuelles effectuées par le SYMPAV
Hypothèse: structure transfo: local betoné 6 faces
</t>
    </r>
    <r>
      <rPr>
        <b/>
        <sz val="10"/>
        <rFont val="Arial"/>
        <family val="2"/>
      </rPr>
      <t>Contrat BATIS:</t>
    </r>
    <r>
      <rPr>
        <sz val="10"/>
        <rFont val="Arial"/>
        <family val="2"/>
      </rPr>
      <t xml:space="preserve"> stock entre 20 et 30 continuellement chez SAFRAN.
</t>
    </r>
    <r>
      <rPr>
        <b/>
        <sz val="10"/>
        <rFont val="Arial"/>
        <family val="2"/>
      </rPr>
      <t>Site back up possible:</t>
    </r>
    <r>
      <rPr>
        <sz val="10"/>
        <rFont val="Arial"/>
        <family val="2"/>
      </rPr>
      <t xml:space="preserve"> SAFRAN bâtiment 33 pour les bâtis &amp; Toulouse si besoin
</t>
    </r>
    <r>
      <rPr>
        <b/>
        <sz val="10"/>
        <rFont val="Arial"/>
        <family val="2"/>
      </rPr>
      <t xml:space="preserve">Contrat CONTENER: </t>
    </r>
    <r>
      <rPr>
        <sz val="10"/>
        <rFont val="Arial"/>
        <family val="2"/>
      </rPr>
      <t>chez SAFRAN bâtiment 33 donc pas d'impact</t>
    </r>
  </si>
  <si>
    <t>VGP annuelles effectuées par le SYMPAV
Contrat BATIS: stock entre 20 et 30 continuellement chez SAFRAN.
Site back up possible: SAFRAN bâtiment 33 pour les bâtis &amp; Toulouse si besoin
Contrat CONTENER: chez SAFRAN bâtiment 33 donc pas d'impact</t>
  </si>
  <si>
    <t>Canalisation de matières dangereuses</t>
  </si>
  <si>
    <t>Rupture de la canalisation de matière dangereuse acheminant du gaz naturel lors de travaux de voirie. Cette canalisation se trouve dans un rayon de 1000m du bâtiment 8. Une conduite à moyenne pression a été percée.</t>
  </si>
  <si>
    <t>Importante fuite de gaz</t>
  </si>
  <si>
    <t>Pompiers sur l'aérodrome</t>
  </si>
  <si>
    <t>La Société SAS Hydro Extrusion ALBI, ICPE à Autorisation, IED implantée dans un rayon de 1000 m de Dedienne Aerospace connait un incendie important au niveau de son bâtiment de production (ICPE régime autorisation rubriques 3260, 2565, 2566) 
Ces établissements sont situés dans un rayon de 1000m
Des fumées toxiques s'échappent du bâtiment SAS Hydro Extrusion ALBI</t>
  </si>
  <si>
    <t>Jean-François BONNET / Arnaud GUITARD</t>
  </si>
  <si>
    <t>Manage Information System</t>
  </si>
  <si>
    <t>PS4</t>
  </si>
  <si>
    <t>Laurence JEGOU</t>
  </si>
  <si>
    <t>Manage Communication</t>
  </si>
  <si>
    <t>PS3</t>
  </si>
  <si>
    <t>Philippe PILLOUD / Zorha RIZZETTO</t>
  </si>
  <si>
    <t>Manage Human Resources</t>
  </si>
  <si>
    <t>PS2</t>
  </si>
  <si>
    <t>Vincent CELLIER</t>
  </si>
  <si>
    <t>Manage Engineering Support</t>
  </si>
  <si>
    <t>PS1</t>
  </si>
  <si>
    <t>Processus supports</t>
  </si>
  <si>
    <t>Manage Design &amp; Development</t>
  </si>
  <si>
    <t>PO5</t>
  </si>
  <si>
    <t>Sylvie HOT / Thomas DELGA</t>
  </si>
  <si>
    <t>Manufacture Products</t>
  </si>
  <si>
    <t>PO4-2</t>
  </si>
  <si>
    <t>Manage Outsourcing</t>
  </si>
  <si>
    <t>PO4-1</t>
  </si>
  <si>
    <t>Manage Operations</t>
  </si>
  <si>
    <t>PO4</t>
  </si>
  <si>
    <t>Guillaume JUSTAMON</t>
  </si>
  <si>
    <t>Manage Sales</t>
  </si>
  <si>
    <t>PO3</t>
  </si>
  <si>
    <t>Antoine GHOSN</t>
  </si>
  <si>
    <t>Manage tooling availability</t>
  </si>
  <si>
    <t>PO2</t>
  </si>
  <si>
    <t>Manage Programs</t>
  </si>
  <si>
    <t>PO1</t>
  </si>
  <si>
    <t>Processus Operationnels</t>
  </si>
  <si>
    <t>Christophe CORNEAU</t>
  </si>
  <si>
    <t>Quality Management</t>
  </si>
  <si>
    <t>PM1-3</t>
  </si>
  <si>
    <t>Philippe PILLOUD</t>
  </si>
  <si>
    <t>Financial Administration</t>
  </si>
  <si>
    <t>PM1-2</t>
  </si>
  <si>
    <t>Cédric BARBE</t>
  </si>
  <si>
    <t>Governance</t>
  </si>
  <si>
    <t>PM1-1</t>
  </si>
  <si>
    <t>Manage Dedienne Aerospace</t>
  </si>
  <si>
    <t>PM1</t>
  </si>
  <si>
    <t>Processus Management</t>
  </si>
  <si>
    <t>PILOTE PROCESSUS</t>
  </si>
  <si>
    <t>SOUS PROCESSUS</t>
  </si>
  <si>
    <t>PROCESSUS</t>
  </si>
  <si>
    <t>Les têtes de câbles HTA ont été changées en 2016 avec une durée de vie au moins de 30 ans
Back up: la production pourra être transférée sur Toulouse</t>
  </si>
  <si>
    <t>Indisponibilité du portique de test</t>
  </si>
  <si>
    <t>Bache entre la toiture intérieure et extérieure il y a 5 ans pour la partie local d'archive
Back up: la production pourra être transférée sur Toulouse</t>
  </si>
  <si>
    <t>Cabine de peinture et de grenaillage non adaptées</t>
  </si>
  <si>
    <t>Cabine de peinture et de grenaillage non adaptées à la production actuelle</t>
  </si>
  <si>
    <t>Perte de Productivité
Des solutions non adaptées sont mises en œuvre: peinture avec les portes ouvertes + protection</t>
  </si>
  <si>
    <t xml:space="preserve">Innondation du local d'archives
Fuites dans l'atelier de temps à autre
Impact sur la production
Retard sur la production
</t>
  </si>
  <si>
    <t>Des solutions non adaptées sont mises en œuvre: peinture avec les portes ouvertes + protection</t>
  </si>
  <si>
    <t>Taille cabine à prendre en compte au moment du changement</t>
  </si>
  <si>
    <t>Impossible de tester le matériel (palonnier LEAP)</t>
  </si>
  <si>
    <t>Le peintre titulaire est en arrêt maladie prolongé</t>
  </si>
  <si>
    <t>Recrutement de peintres en stage ou alternance. Formation par le peintre du Garric. Solution pour Toulouse dans une premier temps</t>
  </si>
  <si>
    <t>Vivier intérimaires
Procédures peinture existantes
Contrôle final</t>
  </si>
  <si>
    <t>Difficile de trouver des peintres
Pas de passage d'information
Produits peints de moins bonne qualité
Non conformités clients</t>
  </si>
  <si>
    <r>
      <t xml:space="preserve">Atex: pas de zonage, d'étude matériel , pas de vérification d'adequation matérielle, pas de DRCPE (point identifié depuis 2016 et également par les assureurs).
</t>
    </r>
    <r>
      <rPr>
        <sz val="10"/>
        <color rgb="FFFF0000"/>
        <rFont val="Arial"/>
        <family val="2"/>
      </rPr>
      <t xml:space="preserve">
</t>
    </r>
    <r>
      <rPr>
        <sz val="10"/>
        <color theme="1"/>
        <rFont val="Arial"/>
        <family val="2"/>
      </rPr>
      <t>Cabine de peinture: peinture avec les portes ouvertes + protection quand les pièces sont trop grandes</t>
    </r>
  </si>
  <si>
    <r>
      <t xml:space="preserve">Coup de pelleteuse et rupture d'alimentation sur une canalisation gaz extérieure à l'usine. Coupure totale de gaz sur le site.
</t>
    </r>
    <r>
      <rPr>
        <sz val="10"/>
        <color theme="1"/>
        <rFont val="Arial"/>
        <family val="2"/>
      </rPr>
      <t>Gaz pour chauffage, pour les brûleurs à Gaz, cabine de peinture</t>
    </r>
  </si>
  <si>
    <r>
      <rPr>
        <b/>
        <sz val="10"/>
        <rFont val="Arial"/>
        <family val="2"/>
      </rPr>
      <t xml:space="preserve">Site back up possible: </t>
    </r>
    <r>
      <rPr>
        <sz val="10"/>
        <rFont val="Arial"/>
        <family val="2"/>
      </rPr>
      <t>Toulouse
Bureaux en télétravail</t>
    </r>
  </si>
  <si>
    <t xml:space="preserve">Maintenance corrective: remplacement du verrin principal
Maintenance de premier niveau
Pièces de rechange disponibles sur place
Back up possible: Toulouse pour certaines références
</t>
  </si>
  <si>
    <t>Règlementaire</t>
  </si>
  <si>
    <t>Back up possible: Toulouse &amp; fournisseurs</t>
  </si>
  <si>
    <t>Arrêt activité peinture</t>
  </si>
  <si>
    <t>Laboratoire de peinture. Aspiration de la hotte n'est pas conforme (impact sur la santé des personnes). Les investissements ne sont pas faits et la CARSAT demande l'arrêt des activités peintures</t>
  </si>
  <si>
    <t>Accompagnement CARSAT
Devis réalisés en cours de mise à jour côté Production
=&gt; risque majeur identifié au niveau du DU</t>
  </si>
  <si>
    <t>Back up: la production pourra être transférée en partie sur Toulouse
VGP annuelles</t>
  </si>
  <si>
    <t>L'activité s'arrête plusieurs semaines jusqu'à un mois et vient compromettre l'organisation du Client. Réclamations Client, frais de réparation élévés</t>
  </si>
  <si>
    <t>Le tranformateur qui nous appratient est veillissant et ne fonctionne plus. Le transformateur est non réparable car il contient une huile qui n'est pas autorisée</t>
  </si>
  <si>
    <t xml:space="preserve">
Production stopéee
Impossible de livrer le matériel au Client</t>
  </si>
  <si>
    <t>PROCESSUS DEDIENNE AEROSPACE</t>
  </si>
  <si>
    <t>RISQUES INTERNES &amp; EXTERNES LE GARRIC</t>
  </si>
  <si>
    <t>RISQUES INTERNES &amp; EXTERNES VILLAROCHE</t>
  </si>
  <si>
    <t>RISQUES INFORMATIQUES</t>
  </si>
  <si>
    <t>GRILLE DE COTATION DES RISQUES</t>
  </si>
  <si>
    <t>PCA - FICHE DE CONTINUITE D'ACTIVITE</t>
  </si>
  <si>
    <t>PCA - FICHE SCENARIO</t>
  </si>
  <si>
    <t xml:space="preserve">Site de : </t>
  </si>
  <si>
    <t>GRAVITE</t>
  </si>
  <si>
    <t>FREQUENCE</t>
  </si>
  <si>
    <t>Très critique</t>
  </si>
  <si>
    <t>MATRICE DE CRITICITE</t>
  </si>
  <si>
    <t>Sylvie HOT / Adrien VILLE</t>
  </si>
  <si>
    <t>Pas de plan d'action</t>
  </si>
  <si>
    <t>Plan d'action obligatoire</t>
  </si>
  <si>
    <t>Projet de construction d'un nouveau bâtiment Dedienne Aerospace à intégrer dans l'analyse de risques</t>
  </si>
  <si>
    <t>Projet de construction d'un nouveau bâtiment Dedienne Aerospace à intégrer dans l'analyse de risques, prendre en compte le risque vieillissement des installations (déformation de la route) et coût de la réfection de la route</t>
  </si>
  <si>
    <t xml:space="preserve">Projet de construction d'un nouveau bâtiment Dedienne Aerospace à intégrer dans l'analyse de risques, prendre en compte le risque vieillissement des installations (tranformateur) et coût associé
</t>
  </si>
  <si>
    <t>NIVEAU DE RISQUE RESIDUEL</t>
  </si>
  <si>
    <t>PRIORITE</t>
  </si>
  <si>
    <t>NIVEAU DE RISQUE BRUT</t>
  </si>
  <si>
    <t>Départ de feu suite à un défaut électrique dans l'atelier, un dimanche en l’absence de personnel. Le feu prend rapidement à l’ensemble des racks et produits conditionnés dans des valises plastique. Le feu se propage dans l’ensemble de l’atelier, puis vers la zone administrative par la toiture.</t>
  </si>
  <si>
    <t>Plan d'action facultatif</t>
  </si>
  <si>
    <t>Plan d'action facultatif et suivi tous les semestres</t>
  </si>
  <si>
    <t>Plan d'action  et plan de continuité d'activités 
obligatoires</t>
  </si>
  <si>
    <r>
      <rPr>
        <b/>
        <sz val="10"/>
        <rFont val="Arial"/>
        <family val="2"/>
      </rPr>
      <t xml:space="preserve">ACTION 2021-78 </t>
    </r>
    <r>
      <rPr>
        <sz val="10"/>
        <rFont val="Arial"/>
        <family val="2"/>
      </rPr>
      <t xml:space="preserve">à 80%
Nécessité de poser un surpresseur pour pouvoir collecter les eaux usées dans des bac de rétention
</t>
    </r>
  </si>
  <si>
    <t>Plan d'action facultatif &amp;Surveillance</t>
  </si>
  <si>
    <t>Plan d'action &amp; PCA obligatoires</t>
  </si>
  <si>
    <t xml:space="preserve">- Contrat maintenance préventive et curative
- Contrat prestataire
</t>
  </si>
  <si>
    <t>Des orages violents s'abattent sur la région avec de fortes chuttes de grêle qui viennent boucher les rigoles d'évacuation du toit. L'eau s'accumule, s'infiltre, mouille la laine de verre (isolation à confirmer). Les dalles au plafond s'effondrent avec le poids.</t>
  </si>
  <si>
    <t>Voir plan d'action HSE 2022</t>
  </si>
  <si>
    <t>- Manque de protection contre ces nuisibles</t>
  </si>
  <si>
    <t>Surveillance approvisionnement régulièrement</t>
  </si>
  <si>
    <t>- Pb pompe évacuation d'eau
- Bassin de rétention d'eau pleine
- Evacuation bouchée
- Pluie exceptionnelle</t>
  </si>
  <si>
    <t xml:space="preserve">Activé informatique arrêtée
- Potentiellement plus d'électricité
</t>
  </si>
  <si>
    <r>
      <t xml:space="preserve">PRA Miami 
</t>
    </r>
    <r>
      <rPr>
        <sz val="10"/>
        <color rgb="FF0070C0"/>
        <rFont val="Arial"/>
        <family val="2"/>
      </rPr>
      <t>Validation du bon fonctionnement régulièrement 1 fois par an</t>
    </r>
  </si>
  <si>
    <t xml:space="preserve">- Fermeture à clef des salles informatiques
- Gestion badge entré-sortie améliorée
- Nettoyage des anciens profils (badges)
</t>
  </si>
  <si>
    <t>Impossibilité de se connecter
Login (un ou plusieurs users)</t>
  </si>
  <si>
    <t>80%
- Définir le contexte de bascule
- Définir le contexte de retour en production normal
HAKHIM ARNAUD 31/10</t>
  </si>
  <si>
    <t xml:space="preserve">- Cryptage des postes sensibles
- Proposer des actions simples de protection du pc (Ex. ne pas laisser dans la voiture)
- Prévention sur l'organisation et la gestion de son matériel
Amélioration système alarme
</t>
  </si>
  <si>
    <t>= (FxG)*M</t>
  </si>
  <si>
    <t>Description succincte d'un scénario plausibles (ou causes défaillance)</t>
  </si>
  <si>
    <t>Arnaud et Bruno Vérification du suivi (30/09)</t>
  </si>
  <si>
    <t>Inondations</t>
  </si>
  <si>
    <t xml:space="preserve">- Court circuit électrique
- Accident atelier
- Machine qui prend feu
- Pyromane
- Manque de matériel anti incendie </t>
  </si>
  <si>
    <t xml:space="preserve">- Activité informatique arrêté
- Téléphonie arrêtée
</t>
  </si>
  <si>
    <t>- Contrat maintenance :
     * Réseau électrique
     * Machine outils
     * Prévention
- Extincteur dans les salles informatique et dans le bâtiment 
Reprise d'activité
- Nous avons le serveur PRA sur le site de Miami
Récupération des données
- PRA Miami
- Sauvegarde Cloud Blob Azure</t>
  </si>
  <si>
    <t>Dégradation volontaire (câblage, serveur, switches ou poste clients)</t>
  </si>
  <si>
    <t>- Système &amp; Réseau informatique en panne
- Téléphonie en panne
- Poste client pas connecté au Lan
- Serveur inaccessible
- Internet inaccessible
- Les sites distant ne peuvent pas travailler</t>
  </si>
  <si>
    <t>- Activités informatiques arrêtées ou mode dégradé
- Réseau arrêté ou en mode dégradé
- Certains postes ne fonctionnent plus du tout</t>
  </si>
  <si>
    <t>- contrat de maintenance
- Bon fonctionnement du réseau redondé vérifié régulièrement
- matériels actifs sur les deux réseaux électriques
Fonctionnement actuel : 15 min</t>
  </si>
  <si>
    <t xml:space="preserve">
Chiffrage pour pouvoir brancher un groupe électrogène sur réseau électrique ondulé - JEF (01/12)</t>
  </si>
  <si>
    <t>- Antivirus pas à jour
- Utilisation outil informatique non professionnelle
- Utilisation média personnel utilisateur : Clé USB personnelle, Cd, Internet
- Pas de console de gestion : Stratégie, erreur, alerte
- Pas de notification alerte
- Pas gestion de sécurité de la messagerie (Ex. .zip heuristique)</t>
  </si>
  <si>
    <t>- Productivité ralentis ou arrêté
- Utilisateur perturbé, comportement poste informatique inhabituel
- Possible perte de données, de service ou applications
- Matériel inutilisable
- Image société (si virus mail)
- Service informatique débordé</t>
  </si>
  <si>
    <t>Mettre une stratégie sécurité en place :
- Contrat antivirus ouvert
- Scan poste et serveur régulier
- Centralisation gestion antivirus
- Notification alerte
- Empêcher les zip et autre script par Outlook
système sécurité Hpe SIMPLIVITY
Système d'intelligence artificielle ajouté  (Darktrace) pour sécuriser le SI fonctionnelle (depuis 2022)
Adhésion au programme AIR cyber</t>
  </si>
  <si>
    <t xml:space="preserve">Gestion du port USB blocage antivirus ou mise en place une station blanche  - JEF (31/12)
Communication sensibilisation - HAKHIM (15/10)
</t>
  </si>
  <si>
    <t>Attaque externe (Intrusion ou tentative intrusion). Cyber attaque, ransomware, macro virus</t>
  </si>
  <si>
    <t xml:space="preserve">- FW, Serveurs et éléments actifs non à jour
- Utilisateur non sensibilisé à la sécurité
- Paramétrage FW
- Pas de maintenance préventive (log)
- Pas de service IPS
</t>
  </si>
  <si>
    <t>- Vol de données
- Dénie de service :
     * Plus accès Internet
     * Plus de messagerie
- Atteinte intégrité système
- Espionnage</t>
  </si>
  <si>
    <t>- Contrat maintenance préventive et curative
- Contrat prestataire
- Mise à jour Firmware FW
- Service IPS
formation utilisateur
système sécurité Hpe SIMPLIVITY
Système d'intelligence artificielle ajouté  (Darktrace) pour sécuriser le SI en cours de mise en route et de test
11/02/2022: Mise en place double authentification OFFICE 365
Adhésion au programme AIR cyber</t>
  </si>
  <si>
    <t>Attaque site internet: déni de service, fuite données, usurpation, déréférencement</t>
  </si>
  <si>
    <t>- Support joignable par GLPI et téléphone (horaire de bureau)
- Contrat assistance serveur prestataire
- Sauvegarde Active directory (Veeam Backup)
- Avoir plusieurs contrôleur de domaine
- Les logs sont analysés</t>
  </si>
  <si>
    <t>- Impossible d'accéder à des ressources réseau :
     * Dossier service
     * Données Sage
     * Données multi-service
     * Dossier perso (H:)</t>
  </si>
  <si>
    <t>- AD en panne
- Droits Share perdu (groupe de sécurité)
- Service serveur Share arrêté
- Problème réseau serveur
- Problème réseau</t>
  </si>
  <si>
    <t xml:space="preserve">- Sauvegarde des Share et sécurité
- Sauvegarde des VM
- Sauvegarde de l'active directory
- Sauvegarde configuration switches
</t>
  </si>
  <si>
    <t>Firewall (panne matériel)</t>
  </si>
  <si>
    <t xml:space="preserve">- Panne exceptionnelle matériel
- Attaque par dénie de service
- Matériel sous dimensionné
</t>
  </si>
  <si>
    <t>- Redondance matériel (high Availability)
- Contrat d'assistance
- Matériel sous garantie
- Notification évènements matériels &amp; logiciels
- Alerte sur taux d'utilisation importante
- Backup configuration</t>
  </si>
  <si>
    <t>Firewall paramétrage</t>
  </si>
  <si>
    <t>- Pas d'accès à certains services :
     * Dans un contexte différent que d'habitude
     * En déplacement (hors du Lan habituel)
     * Nouveau service (ex. ftp)</t>
  </si>
  <si>
    <t>- Ralentissement du ou des systèmes
- Impossible d'enregistrer un travail
- Saturation des systèmes de sauvegarde</t>
  </si>
  <si>
    <t>Matériel (serveur VMWare) ko</t>
  </si>
  <si>
    <t>- Manque d'anticipation
- Système sous dimensionné
- Mauvaise vision stratégique</t>
  </si>
  <si>
    <t>- Prévoir l'évolution matériel à 5 ans lors du renouvellement serveur
- Définir la stratégie informatique avec la direction
- Prévoir une marge d'évolution matériel</t>
  </si>
  <si>
    <t>- Bien définir le rôle du serveur
- Superviser son activité
- Alerte / Notification activité processeur
- Prévoir la possibilité d'upgrade du processeur
- Contrat assistance</t>
  </si>
  <si>
    <t>- Défaillance matériel
- Surcharge électrique
- Poussière
- Mauvaise gestion du hardware
- Pas de système d'alerte</t>
  </si>
  <si>
    <t xml:space="preserve">- Si pas de souci sur l'infrastructure, pas de souci de production
- Si souci avec l'infrastructure de production, pas de reprise d'activité
- Pas de reprise d'activité si un problème majeur se produit
- Plus d'accès à l'infrastructure informatique
- Plus d'accès : aux fichiers, aux bdd, aux impressions
</t>
  </si>
  <si>
    <t>- Disque HS
- Problèmes divers matériels serveurs : 
     * Alimentation, carte mère, mémoire, processeur</t>
  </si>
  <si>
    <t>- Problème service DHCP Serveur
- Problème redondance des services
- Service arrêté
- Problème cohérence des serveurs DHCP</t>
  </si>
  <si>
    <t>- Serveur d'impression en panne 
- Service serveur arrêté</t>
  </si>
  <si>
    <t xml:space="preserve">- Contrat de maintenance  préventive
- Contrat assistance exploitation
- Sauvegarde système VM
- Paramétrer le service impression pour qu'il redémarrer sur arrêt
- Paramétrer redémarrage sur service sur arrêt brutal
</t>
  </si>
  <si>
    <t>- Service arrêté
- Serveur DNS en panne
- Base DNS corrompu</t>
  </si>
  <si>
    <t>- Sauvegarde serveur DNS
- Redémarrage service sur arrêt
- Redondance service DNS autre serveur
- Double serveur DNS
- Relai DNS en ligne</t>
  </si>
  <si>
    <t>- Serveur authentification en panne
- Problème de redondance entre serveurs d'authentification
- Services authentifications arrêtés</t>
  </si>
  <si>
    <t>- Superviser la santé des contrôleurs de domaine
- Contrat maintenance préventive et curative
- deux serveurs d'authentification
accès aux serveurs pour remarrer les services ou le serveur</t>
  </si>
  <si>
    <t>- Disparition des données
- Données volés
- Divulgation de  travail de recherche et développement
- Divulgation d'information chez le concurrent</t>
  </si>
  <si>
    <t>- Formation / Information utilisateur
- Logiciel gestion device (USB)
- Cryptage device : smartphone, tablette et pc portable
- Mise à jour régulière des firmwares / logiciels
- Contrat assistance
- Mise à jour régulière système Windows
- Procédure organisation des données des services</t>
  </si>
  <si>
    <t>Projet de classification et maitrise des données JEF 12/24</t>
  </si>
  <si>
    <t xml:space="preserve">- Poste pas accroché avec câble antivol
- Laissé dans véhicule
- Vol dans l'entreprise
</t>
  </si>
  <si>
    <t>- Perte de données
- Plus d'outil de travail
- Risque de divulgation de document sensible ou stratégique pour l'entreprise</t>
  </si>
  <si>
    <t>- Installation logiciel Géolocalisation, suppression data à distance, blocage du smartphone à distance
- Cryptage
- Sensibilisation
- Sauvegarde appareil
- Gestion des données (sup après usage)</t>
  </si>
  <si>
    <t>Vol de données (drive personnel, ftp personnel, autre média extérieur, USB)</t>
  </si>
  <si>
    <t>- Le site facilite l'accès au drive personnel ou ftp personnel
- Pas de contrôle du Traffic utilisateur
- Pas de contrôle du volume transité (journalier)
- Pas de contrôle port USB</t>
  </si>
  <si>
    <t>- Fermer les accès drive personnel
- Contrôler les volumes des utilisateurs
- Contrôler l'activité des utilisateurs
- Contrôler les ports USB
- Alerte et blocage via Darktrace</t>
  </si>
  <si>
    <t>Performance (Pb)</t>
  </si>
  <si>
    <t>- Plus d'accès Internet
- Plus de connexion site à site
- Sage en panne pour les sites distants
- Plus de messagerie
- VPN ko
- Tous les extranet clients ou fournisseurs inaccessibles</t>
  </si>
  <si>
    <t>Cloud (one drive, SharePoint)</t>
  </si>
  <si>
    <t>- partage trop ouvert
- compte user verrouillé
- vol de données
- service en panne</t>
  </si>
  <si>
    <t>WIFI: Access point (matériel)</t>
  </si>
  <si>
    <t xml:space="preserve">- Problème synchronisation AD
- Services Wifi FW KO
- FW mode dégradé
</t>
  </si>
  <si>
    <t>- Le serveur est tombé (VM arrêté)
- Le réseau est arrêté (pas de Link)
- Les services réseau sont arrêtés
- Les services Sage ne redémarrent pas
- La base de données est arrêtée</t>
  </si>
  <si>
    <t>- Tous les users ne peuvent plus se connecter
- Le workflow de production est arrêté
- Certains utilisateurs n'ont plus rien à faire
- La productivité est très faible</t>
  </si>
  <si>
    <t>- Timeout sur requête utilisateur
- Navigation logiciel lourde
- Perte de productivité
- Utilisateur mécontent, doute du système
- Edition très longue
- Déconnexions intempestives</t>
  </si>
  <si>
    <t>- Pb logiciel (installation)
- Pb licence (ne contacte pas le serveur)
- Pb performance poste (pas assez de disponibilité matériel pour lancer l'outil)</t>
  </si>
  <si>
    <t>- Le poste n'est pas assez performant pour ces logiciels
- Les ressources sont utilisés par un autre processus
- Le logiciel est mal paramétré
- Le poste a un souci matériel
- Le poste doit être réinstallé</t>
  </si>
  <si>
    <t>Notifications sauvegarde hebdomadaire
     * Résultat sauvegarde
     * Date / Heure
     * Volume
     * Etat de la sauvegarde
- Contrat assistance prestataire</t>
  </si>
  <si>
    <t>Les données sont accessibles mais :
- Erreur à l'ouverture du fichier
- Pas d'erreur mais le fichier plante
- Impossible de naviguer dans le fichier</t>
  </si>
  <si>
    <t xml:space="preserve">Vérifier :
     * Droits AD
     * Ping du poste
     * Paramètre DHCP / IE
- Contrat assistance : FW, Réseau, Synchro AD
</t>
  </si>
  <si>
    <t>- Panne routeur fibre
- Panne transceiver (RJ-Fibre)
- Problème FW
- IP blacklisté</t>
  </si>
  <si>
    <t>- Deuxième ligne Internet (200 Mo)
     * Pas sur même backbone
Deux acheminements différents, 2 POP différents, 2 data center différents</t>
  </si>
  <si>
    <t>- Utilisation Internet apprentissage
- Site phishing
- Accès site non professionnel
- Manque de formation
- Système non à jour
- Antivirus pas à jour</t>
  </si>
  <si>
    <t>Risques encourus : 
- Virus
- Spy
- Adware
- Vol données :
     * Suppression données
     * Chantage</t>
  </si>
  <si>
    <t>Contrôle et maitrise accessibilité des sites
Traçage activité utilisateur
charte informatique à jour 
Antivirus centralisé et fiable
- Client à jour
- Lire les documents communiqué sur les bonnes pratiques
- Utiliser les ressources de façon professionnelles 
- Scan des postes et serveurs régulier</t>
  </si>
  <si>
    <t>Réseau en panne :
- Interconnexion bâtiment
- Connexion poste réseau
- Connexion poste autonome
- Serveur inaccessible</t>
  </si>
  <si>
    <t>Sécurité informatique :
- Mise à jour poste
- Logiciel sécurité manquant (AV, IPS, FW)
- Formation / Information utilisateurs manquante
- Mise à jour Firmware, applications et systèmes manquant
- Non pilotage des devices
- manque d'organisation des données des services
 - Manque de groupe de sécurité</t>
  </si>
  <si>
    <t>- Panne matériel (switch)
- Cable jarrretière en panne
- Panne Gbic</t>
  </si>
  <si>
    <t>- Matériel full redondé : Serveurs, réseaux, câblages, Internet
- Matériel de spare</t>
  </si>
  <si>
    <t xml:space="preserve">- Backup régulier des switch
- Contrat assistance matériel
- Contrat assistance logiciel
- Mise à jour Firmware (1 fois par an)
- Analyser de trame
</t>
  </si>
  <si>
    <t xml:space="preserve">- Un ou des éléments actifs défectueux mais pas en panne
- Poste défectueux : requête broadcast en boucle
- FW pas à jour, mauvaise configuration
</t>
  </si>
  <si>
    <t xml:space="preserve">- Cœur de réseau mode dégradé
- Un élément actif défectueux, mais encore actif
- Poste : requête broadcast sans fin
- Tentative Attaque (déni de service)
</t>
  </si>
  <si>
    <t xml:space="preserve">
- Contrat de maintenance onduleur
</t>
  </si>
  <si>
    <t>- Mise à disposition de gros fichiers / dossiers impossible
- Réception de gros de dossiers impossible
- Documents qualité fournisseurs non disponibles</t>
  </si>
  <si>
    <t>- Contrat sous traitant
- Tutoriel d'utilisation</t>
  </si>
  <si>
    <t xml:space="preserve">- Connexion impossible ou faible débit selon l'emplacement et quelle AP est en panne
- Lenteur global sur les AP restante
- Pas d'accès Internet pour les clients
</t>
  </si>
  <si>
    <t>- Contrat assistance matériel
- Cable secondaire
- Injecteur sous garantie ou un de secours
- Port disponible sur le switch (au moins 1)
- Switch de secours
- AP de secours</t>
  </si>
  <si>
    <t xml:space="preserve">- Utilisateur mal informé sur l'utilisation de son matériel
- Manque AP (trop de monde en Wifi)
- Pas de pilotage du service Wifi
- Utilisation internet abusive
</t>
  </si>
  <si>
    <t xml:space="preserve"> </t>
  </si>
  <si>
    <t>- Contrat assistance maintenance préventive Sage
- Contrat assistance exploitation Sage
- Contrat assistance sur l'infrastructure
- Contrat assistance réseau
double connexion internet avec double accès</t>
  </si>
  <si>
    <t>SRA peut prendre ponctuellement le relais si aucun administrateur DA n'est pas disponible</t>
  </si>
  <si>
    <t>Lot de licences disponibles avant une série d'embauche
- Vérification des attributions des licences effectuée
- Sauvegarde du serveur de licences
- Synchronisation avec le service RH pour avoir une visibilité sur les embauches</t>
  </si>
  <si>
    <t>Licences (pas assez) logiciels métiers (Abaqus, Esprit et Catia)</t>
  </si>
  <si>
    <t xml:space="preserve">- Procédures installation logiciels métier 
- Procédure redémarrage service/agent licence serveur
- Vérification bon fonctionnement du poste client
- Contrat maintenance constructeur poste client 
</t>
  </si>
  <si>
    <t xml:space="preserve">- Changer le poste de l'utilisateur
upgrader le matériel
- Contrat constructeur assistance matériel et logiciel
- Procédure installation poste + logiciel métier+ paramètre
</t>
  </si>
  <si>
    <t>Latence général de fonctionnement
- Retard sur les saisies
- utilisateurs finaux très mécontents
- Retard paie
- Retard paiement fournisseur --&gt; pénalités</t>
  </si>
  <si>
    <t>Logiciel de paie inaccessible (SILAE)</t>
  </si>
  <si>
    <t>Plus de sauvegarde :
     * Données utilisateurs
     * Base de données applications
     * Données de service
- Pas de restauration fine
- Perte données sensibles ou stratégiques
- Perte données clients</t>
  </si>
  <si>
    <t>Defaillance de sauvegarde (Veeam Backup)</t>
  </si>
  <si>
    <t xml:space="preserve">Données </t>
  </si>
  <si>
    <t>Plus d'accès aux données :
- Sage sans document liés 
- GED inaccesible
- Les services n'ont plus accès aux données
- Plus de pilotage des actions
- Plus de maintien des documents à jour
- Plus accès aux données métiers</t>
  </si>
  <si>
    <t>- Mauvais enregistrement
- Coupure poste lors de l'enregistrement
- Pb stockage serveur</t>
  </si>
  <si>
    <t xml:space="preserve">- Vérifier que les données sont bien sauvegardés (veeam backup)
</t>
  </si>
  <si>
    <t xml:space="preserve">- Internet inaccessible sur un seul poste
     * Navigation ko
     * Outlook ko 
- Site professionnel ko
</t>
  </si>
  <si>
    <t xml:space="preserve">Internet ne fonctionne pas : Tout le monde
- Agence internationales ne peuvent pas se connecter
- Site fournisseur inaccessible
    * Navigation ko
     * Outlook ko 
</t>
  </si>
  <si>
    <t>Activité utilisateur frauduleuse (attaque interne)</t>
  </si>
  <si>
    <t>Mise en place du plan d'action air cyber (pour atteindre le niveau bronze) - HAKHIM (30/11)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</si>
</sst>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00\ _€_-;\-* #,##0.00\ _€_-;_-* &quot;-&quot;??\ _€_-;_-@_-"/>
    <numFmt numFmtId="165" formatCode="0.0"/>
  </numFmts>
  <fonts count="38" x14ac:knownFonts="1">
    <font>
      <sz val="10"/>
      <name val="Arial"/>
    </font>
    <font>
      <sz val="11"/>
      <color theme="1"/>
      <name val="Calibri"/>
      <family val="2"/>
      <scheme val="minor"/>
    </font>
    <font>
      <sz val="11"/>
      <color theme="1"/>
      <name val="Calibri"/>
      <family val="2"/>
      <scheme val="minor"/>
    </font>
    <font>
      <sz val="10"/>
      <name val="Arial"/>
      <family val="2"/>
    </font>
    <font>
      <sz val="12"/>
      <name val="Arial"/>
      <family val="2"/>
    </font>
    <font>
      <sz val="10"/>
      <name val="Arial"/>
      <family val="2"/>
    </font>
    <font>
      <b/>
      <sz val="12"/>
      <name val="Arial"/>
      <family val="2"/>
    </font>
    <font>
      <b/>
      <sz val="10"/>
      <name val="Arial"/>
      <family val="2"/>
    </font>
    <font>
      <sz val="8"/>
      <name val="Arial"/>
      <family val="2"/>
    </font>
    <font>
      <b/>
      <sz val="10"/>
      <color indexed="9"/>
      <name val="Arial"/>
      <family val="2"/>
    </font>
    <font>
      <b/>
      <u/>
      <sz val="10"/>
      <name val="Arial"/>
      <family val="2"/>
    </font>
    <font>
      <u/>
      <sz val="12"/>
      <color indexed="12"/>
      <name val="Arial"/>
      <family val="2"/>
    </font>
    <font>
      <u/>
      <sz val="8"/>
      <color indexed="12"/>
      <name val="Arial"/>
      <family val="2"/>
    </font>
    <font>
      <b/>
      <i/>
      <u/>
      <sz val="12"/>
      <name val="Arial"/>
      <family val="2"/>
    </font>
    <font>
      <b/>
      <sz val="12"/>
      <color indexed="12"/>
      <name val="Arial"/>
      <family val="2"/>
    </font>
    <font>
      <b/>
      <sz val="10"/>
      <color indexed="12"/>
      <name val="Arial"/>
      <family val="2"/>
    </font>
    <font>
      <b/>
      <sz val="10"/>
      <color indexed="10"/>
      <name val="Arial"/>
      <family val="2"/>
    </font>
    <font>
      <b/>
      <sz val="14"/>
      <name val="Arial"/>
      <family val="2"/>
    </font>
    <font>
      <b/>
      <sz val="8"/>
      <color indexed="9"/>
      <name val="Arial"/>
      <family val="2"/>
    </font>
    <font>
      <b/>
      <sz val="12"/>
      <color indexed="9"/>
      <name val="Arial"/>
      <family val="2"/>
    </font>
    <font>
      <u/>
      <sz val="10"/>
      <color theme="11"/>
      <name val="Arial"/>
      <family val="2"/>
    </font>
    <font>
      <sz val="10"/>
      <color rgb="FF000000"/>
      <name val="Arial"/>
      <family val="2"/>
    </font>
    <font>
      <sz val="11"/>
      <name val="Arial"/>
      <family val="2"/>
    </font>
    <font>
      <b/>
      <sz val="9"/>
      <color indexed="81"/>
      <name val="Tahoma"/>
      <family val="2"/>
    </font>
    <font>
      <sz val="9"/>
      <color indexed="81"/>
      <name val="Tahoma"/>
      <family val="2"/>
    </font>
    <font>
      <b/>
      <sz val="14"/>
      <color indexed="9"/>
      <name val="Arial"/>
      <family val="2"/>
    </font>
    <font>
      <sz val="10"/>
      <color rgb="FF00B050"/>
      <name val="Arial"/>
      <family val="2"/>
    </font>
    <font>
      <sz val="10"/>
      <color rgb="FFFF0000"/>
      <name val="Arial"/>
      <family val="2"/>
    </font>
    <font>
      <sz val="10"/>
      <name val="Arial"/>
      <family val="2"/>
    </font>
    <font>
      <b/>
      <sz val="11"/>
      <color theme="1"/>
      <name val="Calibri"/>
      <family val="2"/>
      <scheme val="minor"/>
    </font>
    <font>
      <b/>
      <sz val="10"/>
      <color theme="1"/>
      <name val="Calibri"/>
      <family val="2"/>
      <scheme val="minor"/>
    </font>
    <font>
      <sz val="10"/>
      <color theme="1"/>
      <name val="Calibri"/>
      <family val="2"/>
      <scheme val="minor"/>
    </font>
    <font>
      <sz val="10"/>
      <color theme="1"/>
      <name val="Arial"/>
      <family val="2"/>
    </font>
    <font>
      <sz val="26"/>
      <color theme="1"/>
      <name val="Calibri"/>
      <family val="2"/>
      <scheme val="minor"/>
    </font>
    <font>
      <sz val="26"/>
      <name val="Calibri"/>
      <family val="2"/>
      <scheme val="minor"/>
    </font>
    <font>
      <b/>
      <sz val="20"/>
      <name val="Calibri"/>
      <family val="2"/>
      <scheme val="minor"/>
    </font>
    <font>
      <b/>
      <sz val="20"/>
      <name val="Calibri"/>
      <family val="2"/>
    </font>
    <font>
      <sz val="10"/>
      <color rgb="FF0070C0"/>
      <name val="Arial"/>
      <family val="2"/>
    </font>
  </fonts>
  <fills count="18">
    <fill>
      <patternFill patternType="none"/>
    </fill>
    <fill>
      <patternFill patternType="gray125"/>
    </fill>
    <fill>
      <patternFill patternType="solid">
        <fgColor indexed="9"/>
        <bgColor indexed="64"/>
      </patternFill>
    </fill>
    <fill>
      <patternFill patternType="solid">
        <fgColor indexed="11"/>
        <bgColor indexed="64"/>
      </patternFill>
    </fill>
    <fill>
      <patternFill patternType="solid">
        <fgColor indexed="10"/>
        <bgColor indexed="64"/>
      </patternFill>
    </fill>
    <fill>
      <patternFill patternType="solid">
        <fgColor indexed="18"/>
        <bgColor indexed="64"/>
      </patternFill>
    </fill>
    <fill>
      <patternFill patternType="solid">
        <fgColor theme="0"/>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theme="8" tint="0.39997558519241921"/>
        <bgColor indexed="64"/>
      </patternFill>
    </fill>
    <fill>
      <patternFill patternType="solid">
        <fgColor rgb="FFFFC000"/>
        <bgColor indexed="64"/>
      </patternFill>
    </fill>
    <fill>
      <patternFill patternType="solid">
        <fgColor rgb="FF00FF00"/>
        <bgColor indexed="64"/>
      </patternFill>
    </fill>
    <fill>
      <patternFill patternType="solid">
        <fgColor theme="0" tint="-0.249977111117893"/>
        <bgColor indexed="64"/>
      </patternFill>
    </fill>
    <fill>
      <patternFill patternType="solid">
        <fgColor theme="4" tint="0.39997558519241921"/>
        <bgColor indexed="64"/>
      </patternFill>
    </fill>
    <fill>
      <patternFill patternType="solid">
        <fgColor theme="3"/>
        <bgColor indexed="64"/>
      </patternFill>
    </fill>
    <fill>
      <patternFill patternType="solid">
        <fgColor rgb="FF99FF99"/>
        <bgColor indexed="64"/>
      </patternFill>
    </fill>
    <fill>
      <patternFill patternType="solid">
        <fgColor rgb="FFC00000"/>
        <bgColor indexed="64"/>
      </patternFill>
    </fill>
  </fills>
  <borders count="15">
    <border>
      <left/>
      <right/>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right style="thin">
        <color auto="1"/>
      </right>
      <top/>
      <bottom/>
      <diagonal/>
    </border>
    <border>
      <left/>
      <right/>
      <top style="thin">
        <color auto="1"/>
      </top>
      <bottom/>
      <diagonal/>
    </border>
    <border>
      <left/>
      <right style="thin">
        <color auto="1"/>
      </right>
      <top style="thin">
        <color auto="1"/>
      </top>
      <bottom/>
      <diagonal/>
    </border>
    <border>
      <left/>
      <right style="thin">
        <color auto="1"/>
      </right>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right/>
      <top/>
      <bottom style="thin">
        <color auto="1"/>
      </bottom>
      <diagonal/>
    </border>
    <border>
      <left style="thin">
        <color auto="1"/>
      </left>
      <right/>
      <top style="thin">
        <color auto="1"/>
      </top>
      <bottom/>
      <diagonal/>
    </border>
    <border>
      <left style="thin">
        <color auto="1"/>
      </left>
      <right/>
      <top/>
      <bottom style="thin">
        <color auto="1"/>
      </bottom>
      <diagonal/>
    </border>
  </borders>
  <cellStyleXfs count="8">
    <xf numFmtId="0" fontId="0" fillId="0" borderId="0"/>
    <xf numFmtId="0" fontId="12" fillId="0" borderId="0" applyNumberFormat="0" applyFill="0" applyBorder="0" applyAlignment="0" applyProtection="0">
      <alignment vertical="top"/>
      <protection locked="0"/>
    </xf>
    <xf numFmtId="0" fontId="5" fillId="0" borderId="0"/>
    <xf numFmtId="164" fontId="5" fillId="0" borderId="0" applyFont="0" applyFill="0" applyBorder="0" applyAlignment="0" applyProtection="0"/>
    <xf numFmtId="0" fontId="20" fillId="0" borderId="0" applyNumberFormat="0" applyFill="0" applyBorder="0" applyAlignment="0" applyProtection="0"/>
    <xf numFmtId="0" fontId="3" fillId="0" borderId="0"/>
    <xf numFmtId="43" fontId="28" fillId="0" borderId="0" applyFont="0" applyFill="0" applyBorder="0" applyAlignment="0" applyProtection="0"/>
    <xf numFmtId="0" fontId="2" fillId="0" borderId="0"/>
  </cellStyleXfs>
  <cellXfs count="230">
    <xf numFmtId="0" fontId="0" fillId="0" borderId="0" xfId="0"/>
    <xf numFmtId="0" fontId="0" fillId="2" borderId="0" xfId="0" applyFill="1" applyAlignment="1">
      <alignment vertical="center"/>
    </xf>
    <xf numFmtId="0" fontId="7" fillId="2" borderId="0" xfId="0" applyFont="1" applyFill="1"/>
    <xf numFmtId="0" fontId="0" fillId="0" borderId="0" xfId="0" applyAlignment="1">
      <alignment horizontal="center" vertical="center"/>
    </xf>
    <xf numFmtId="0" fontId="7" fillId="0" borderId="0" xfId="0" applyFont="1"/>
    <xf numFmtId="0" fontId="0" fillId="0" borderId="4" xfId="0" applyBorder="1"/>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4" xfId="0" applyBorder="1" applyAlignment="1">
      <alignment vertical="center" wrapText="1"/>
    </xf>
    <xf numFmtId="0" fontId="17" fillId="0" borderId="0" xfId="0" applyFont="1" applyAlignment="1">
      <alignment horizontal="center"/>
    </xf>
    <xf numFmtId="0" fontId="0" fillId="2" borderId="0" xfId="0" applyFill="1" applyAlignment="1">
      <alignment horizontal="center" vertical="center"/>
    </xf>
    <xf numFmtId="165" fontId="0" fillId="0" borderId="0" xfId="0" applyNumberFormat="1" applyAlignment="1">
      <alignment horizontal="center" vertical="center"/>
    </xf>
    <xf numFmtId="0" fontId="18" fillId="5" borderId="3" xfId="0" quotePrefix="1" applyFont="1" applyFill="1" applyBorder="1" applyAlignment="1">
      <alignment horizontal="center" vertical="center" wrapText="1"/>
    </xf>
    <xf numFmtId="0" fontId="18" fillId="5" borderId="3" xfId="0" applyFont="1" applyFill="1" applyBorder="1" applyAlignment="1">
      <alignment horizontal="center" vertical="center" wrapText="1"/>
    </xf>
    <xf numFmtId="0" fontId="0" fillId="0" borderId="0" xfId="0" applyAlignment="1">
      <alignment vertical="center"/>
    </xf>
    <xf numFmtId="0" fontId="11" fillId="6" borderId="0" xfId="1" applyFont="1" applyFill="1" applyBorder="1" applyAlignment="1" applyProtection="1"/>
    <xf numFmtId="0" fontId="0" fillId="6" borderId="0" xfId="0" applyFill="1"/>
    <xf numFmtId="0" fontId="5" fillId="0" borderId="4" xfId="0" applyFont="1" applyBorder="1"/>
    <xf numFmtId="0" fontId="0" fillId="10" borderId="4" xfId="0" applyFill="1" applyBorder="1"/>
    <xf numFmtId="0" fontId="0" fillId="0" borderId="0" xfId="0" applyAlignment="1">
      <alignment horizontal="center"/>
    </xf>
    <xf numFmtId="0" fontId="5" fillId="10" borderId="4" xfId="0" applyFont="1" applyFill="1" applyBorder="1"/>
    <xf numFmtId="165" fontId="0" fillId="3" borderId="4" xfId="0" applyNumberFormat="1" applyFill="1" applyBorder="1" applyAlignment="1">
      <alignment vertical="center"/>
    </xf>
    <xf numFmtId="165" fontId="0" fillId="4" borderId="4" xfId="0" applyNumberFormat="1" applyFill="1" applyBorder="1" applyAlignment="1">
      <alignment vertical="center"/>
    </xf>
    <xf numFmtId="0" fontId="3" fillId="6" borderId="0" xfId="0" applyFont="1" applyFill="1"/>
    <xf numFmtId="0" fontId="3" fillId="0" borderId="0" xfId="0" applyFont="1"/>
    <xf numFmtId="0" fontId="3" fillId="6" borderId="4" xfId="0" applyFont="1" applyFill="1" applyBorder="1" applyAlignment="1">
      <alignment vertical="center" wrapText="1"/>
    </xf>
    <xf numFmtId="0" fontId="0" fillId="6" borderId="4" xfId="0" applyFill="1" applyBorder="1" applyAlignment="1">
      <alignment vertical="center" wrapText="1"/>
    </xf>
    <xf numFmtId="0" fontId="3" fillId="6" borderId="4" xfId="0" quotePrefix="1" applyFont="1" applyFill="1" applyBorder="1" applyAlignment="1">
      <alignment vertical="center" wrapText="1"/>
    </xf>
    <xf numFmtId="0" fontId="5" fillId="6" borderId="4" xfId="0" applyFont="1" applyFill="1" applyBorder="1" applyAlignment="1">
      <alignment vertical="center" wrapText="1"/>
    </xf>
    <xf numFmtId="0" fontId="3" fillId="0" borderId="4" xfId="0" applyFont="1" applyBorder="1"/>
    <xf numFmtId="0" fontId="13" fillId="6" borderId="0" xfId="0" applyFont="1" applyFill="1"/>
    <xf numFmtId="0" fontId="17" fillId="6" borderId="0" xfId="0" applyFont="1" applyFill="1"/>
    <xf numFmtId="0" fontId="7" fillId="6" borderId="0" xfId="0" applyFont="1" applyFill="1"/>
    <xf numFmtId="0" fontId="15" fillId="6" borderId="0" xfId="0" applyFont="1" applyFill="1"/>
    <xf numFmtId="0" fontId="16" fillId="6" borderId="0" xfId="0" applyFont="1" applyFill="1"/>
    <xf numFmtId="0" fontId="14" fillId="6" borderId="0" xfId="1" quotePrefix="1" applyFont="1" applyFill="1" applyBorder="1" applyAlignment="1" applyProtection="1"/>
    <xf numFmtId="0" fontId="4" fillId="6" borderId="0" xfId="0" applyFont="1" applyFill="1"/>
    <xf numFmtId="0" fontId="6" fillId="6" borderId="0" xfId="0" applyFont="1" applyFill="1" applyAlignment="1">
      <alignment horizontal="center"/>
    </xf>
    <xf numFmtId="0" fontId="4" fillId="6" borderId="4" xfId="0" applyFont="1" applyFill="1" applyBorder="1" applyAlignment="1">
      <alignment horizontal="center" vertical="center"/>
    </xf>
    <xf numFmtId="0" fontId="3" fillId="6" borderId="4" xfId="0" applyFont="1" applyFill="1" applyBorder="1" applyAlignment="1">
      <alignment horizontal="center" vertical="center" wrapText="1"/>
    </xf>
    <xf numFmtId="49" fontId="3" fillId="0" borderId="3" xfId="0" applyNumberFormat="1" applyFont="1" applyBorder="1" applyAlignment="1">
      <alignment horizontal="left" vertical="top" wrapText="1"/>
    </xf>
    <xf numFmtId="0" fontId="3" fillId="0" borderId="10" xfId="0" applyFont="1" applyBorder="1" applyAlignment="1">
      <alignment horizontal="left" vertical="center" wrapText="1"/>
    </xf>
    <xf numFmtId="0" fontId="0" fillId="6" borderId="4" xfId="0" applyFill="1" applyBorder="1" applyAlignment="1">
      <alignment horizontal="center" vertical="center" wrapText="1"/>
    </xf>
    <xf numFmtId="9" fontId="26" fillId="0" borderId="4" xfId="0" applyNumberFormat="1" applyFont="1" applyBorder="1" applyAlignment="1">
      <alignment vertical="top" wrapText="1"/>
    </xf>
    <xf numFmtId="49" fontId="3" fillId="0" borderId="4" xfId="0" applyNumberFormat="1" applyFont="1" applyBorder="1" applyAlignment="1">
      <alignment horizontal="left" vertical="top" wrapText="1"/>
    </xf>
    <xf numFmtId="0" fontId="9" fillId="5" borderId="3" xfId="0" quotePrefix="1" applyFont="1" applyFill="1" applyBorder="1" applyAlignment="1">
      <alignment horizontal="center" vertical="center" wrapText="1"/>
    </xf>
    <xf numFmtId="0" fontId="30" fillId="0" borderId="0" xfId="0" applyFont="1" applyAlignment="1">
      <alignment wrapText="1"/>
    </xf>
    <xf numFmtId="0" fontId="31" fillId="0" borderId="0" xfId="0" applyFont="1" applyAlignment="1">
      <alignment wrapText="1"/>
    </xf>
    <xf numFmtId="0" fontId="31" fillId="0" borderId="0" xfId="0" applyFont="1" applyAlignment="1">
      <alignment vertical="center" wrapText="1"/>
    </xf>
    <xf numFmtId="0" fontId="30" fillId="0" borderId="0" xfId="0" applyFont="1" applyAlignment="1">
      <alignment horizontal="left" vertical="center" wrapText="1"/>
    </xf>
    <xf numFmtId="0" fontId="31" fillId="8" borderId="0" xfId="0" applyFont="1" applyFill="1" applyAlignment="1">
      <alignment horizontal="center" vertical="center" wrapText="1"/>
    </xf>
    <xf numFmtId="0" fontId="31" fillId="9" borderId="0" xfId="0" applyFont="1" applyFill="1" applyAlignment="1">
      <alignment horizontal="center" vertical="center" wrapText="1"/>
    </xf>
    <xf numFmtId="0" fontId="31" fillId="11" borderId="0" xfId="0" applyFont="1" applyFill="1" applyAlignment="1">
      <alignment horizontal="center" vertical="center" wrapText="1"/>
    </xf>
    <xf numFmtId="0" fontId="31" fillId="7" borderId="0" xfId="0" applyFont="1" applyFill="1" applyAlignment="1">
      <alignment horizontal="center" vertical="center" wrapText="1"/>
    </xf>
    <xf numFmtId="0" fontId="30" fillId="0" borderId="0" xfId="0" applyFont="1" applyAlignment="1">
      <alignment vertical="top" wrapText="1"/>
    </xf>
    <xf numFmtId="0" fontId="30" fillId="0" borderId="0" xfId="0" applyFont="1" applyAlignment="1">
      <alignment vertical="center" wrapText="1"/>
    </xf>
    <xf numFmtId="0" fontId="30" fillId="0" borderId="0" xfId="0" applyFont="1"/>
    <xf numFmtId="0" fontId="31" fillId="0" borderId="0" xfId="0" applyFont="1" applyAlignment="1">
      <alignment vertical="center"/>
    </xf>
    <xf numFmtId="0" fontId="31" fillId="7" borderId="0" xfId="0" applyFont="1" applyFill="1" applyAlignment="1">
      <alignment horizontal="center" vertical="center"/>
    </xf>
    <xf numFmtId="0" fontId="31" fillId="11" borderId="0" xfId="0" applyFont="1" applyFill="1" applyAlignment="1">
      <alignment horizontal="center" vertical="center"/>
    </xf>
    <xf numFmtId="0" fontId="31" fillId="8" borderId="0" xfId="0" applyFont="1" applyFill="1" applyAlignment="1">
      <alignment horizontal="center" vertical="center"/>
    </xf>
    <xf numFmtId="0" fontId="29" fillId="0" borderId="0" xfId="0" applyFont="1"/>
    <xf numFmtId="0" fontId="31" fillId="9" borderId="0" xfId="0" applyFont="1" applyFill="1" applyAlignment="1">
      <alignment horizontal="center" vertical="center"/>
    </xf>
    <xf numFmtId="0" fontId="3" fillId="0" borderId="0" xfId="0" applyFont="1" applyAlignment="1">
      <alignment vertical="center"/>
    </xf>
    <xf numFmtId="43" fontId="3" fillId="6" borderId="4" xfId="6" applyFont="1" applyFill="1" applyBorder="1" applyAlignment="1" applyProtection="1">
      <alignment vertical="center" wrapText="1"/>
    </xf>
    <xf numFmtId="43" fontId="0" fillId="6" borderId="4" xfId="6" applyFont="1" applyFill="1" applyBorder="1" applyAlignment="1">
      <alignment horizontal="left" vertical="center" wrapText="1"/>
    </xf>
    <xf numFmtId="43" fontId="0" fillId="0" borderId="0" xfId="6" applyFont="1"/>
    <xf numFmtId="43" fontId="3" fillId="6" borderId="4" xfId="6" applyFont="1" applyFill="1" applyBorder="1" applyAlignment="1">
      <alignment horizontal="left" vertical="center" wrapText="1"/>
    </xf>
    <xf numFmtId="49" fontId="3" fillId="6" borderId="3" xfId="0" applyNumberFormat="1" applyFont="1" applyFill="1" applyBorder="1" applyAlignment="1">
      <alignment horizontal="left" vertical="top" wrapText="1"/>
    </xf>
    <xf numFmtId="0" fontId="0" fillId="0" borderId="4" xfId="0" applyBorder="1" applyAlignment="1">
      <alignment vertical="top" wrapText="1"/>
    </xf>
    <xf numFmtId="0" fontId="3" fillId="0" borderId="4" xfId="0" applyFont="1" applyBorder="1" applyAlignment="1">
      <alignment vertical="center" wrapText="1"/>
    </xf>
    <xf numFmtId="9" fontId="3" fillId="0" borderId="4" xfId="0" applyNumberFormat="1" applyFont="1" applyBorder="1" applyAlignment="1">
      <alignment horizontal="left" vertical="top" wrapText="1"/>
    </xf>
    <xf numFmtId="9" fontId="27" fillId="0" borderId="4" xfId="0" applyNumberFormat="1" applyFont="1" applyBorder="1" applyAlignment="1">
      <alignment vertical="top" wrapText="1"/>
    </xf>
    <xf numFmtId="49" fontId="3" fillId="0" borderId="3" xfId="0" applyNumberFormat="1" applyFont="1" applyBorder="1" applyAlignment="1">
      <alignment horizontal="center" vertical="center" wrapText="1"/>
    </xf>
    <xf numFmtId="0" fontId="4" fillId="6" borderId="4" xfId="0" quotePrefix="1" applyFont="1" applyFill="1" applyBorder="1" applyAlignment="1">
      <alignment horizontal="center" vertical="center"/>
    </xf>
    <xf numFmtId="165" fontId="0" fillId="0" borderId="0" xfId="0" applyNumberFormat="1" applyAlignment="1">
      <alignment vertical="center"/>
    </xf>
    <xf numFmtId="165" fontId="3" fillId="0" borderId="0" xfId="0" applyNumberFormat="1" applyFont="1" applyAlignment="1">
      <alignment vertical="center"/>
    </xf>
    <xf numFmtId="0" fontId="3" fillId="0" borderId="0" xfId="5"/>
    <xf numFmtId="0" fontId="3" fillId="6" borderId="0" xfId="5" applyFill="1"/>
    <xf numFmtId="0" fontId="13" fillId="6" borderId="0" xfId="5" applyFont="1" applyFill="1"/>
    <xf numFmtId="0" fontId="3" fillId="6" borderId="0" xfId="5" quotePrefix="1" applyFill="1"/>
    <xf numFmtId="0" fontId="4" fillId="6" borderId="0" xfId="5" applyFont="1" applyFill="1"/>
    <xf numFmtId="0" fontId="3" fillId="6" borderId="0" xfId="5" applyFill="1" applyAlignment="1">
      <alignment horizontal="right"/>
    </xf>
    <xf numFmtId="0" fontId="7" fillId="6" borderId="0" xfId="5" applyFont="1" applyFill="1"/>
    <xf numFmtId="0" fontId="10" fillId="6" borderId="0" xfId="5" applyFont="1" applyFill="1"/>
    <xf numFmtId="0" fontId="16" fillId="6" borderId="0" xfId="5" applyFont="1" applyFill="1"/>
    <xf numFmtId="0" fontId="15" fillId="6" borderId="0" xfId="5" applyFont="1" applyFill="1"/>
    <xf numFmtId="0" fontId="17" fillId="6" borderId="0" xfId="5" applyFont="1" applyFill="1"/>
    <xf numFmtId="0" fontId="4" fillId="0" borderId="4" xfId="0" applyFont="1" applyBorder="1" applyAlignment="1">
      <alignment horizontal="center" vertical="center"/>
    </xf>
    <xf numFmtId="0" fontId="6" fillId="7" borderId="4" xfId="0" applyFont="1" applyFill="1" applyBorder="1" applyAlignment="1">
      <alignment horizontal="center" vertical="center"/>
    </xf>
    <xf numFmtId="0" fontId="6" fillId="0" borderId="4" xfId="0" applyFont="1" applyBorder="1" applyAlignment="1">
      <alignment horizontal="center" vertical="center"/>
    </xf>
    <xf numFmtId="0" fontId="6" fillId="12" borderId="4" xfId="0" applyFont="1" applyFill="1" applyBorder="1" applyAlignment="1">
      <alignment horizontal="center" vertical="center"/>
    </xf>
    <xf numFmtId="43" fontId="22" fillId="12" borderId="4" xfId="6" applyFont="1" applyFill="1" applyBorder="1" applyAlignment="1">
      <alignment horizontal="center" vertical="center"/>
    </xf>
    <xf numFmtId="43" fontId="22" fillId="0" borderId="4" xfId="6" applyFont="1" applyFill="1" applyBorder="1" applyAlignment="1">
      <alignment horizontal="center" vertical="center"/>
    </xf>
    <xf numFmtId="0" fontId="3" fillId="6" borderId="4" xfId="0" applyFont="1" applyFill="1" applyBorder="1" applyAlignment="1">
      <alignment horizontal="left" vertical="center" wrapText="1"/>
    </xf>
    <xf numFmtId="0" fontId="7" fillId="0" borderId="4" xfId="0" applyFont="1" applyBorder="1" applyAlignment="1">
      <alignment horizontal="center" vertical="center" wrapText="1"/>
    </xf>
    <xf numFmtId="43" fontId="3" fillId="0" borderId="4" xfId="6" applyFont="1" applyFill="1" applyBorder="1" applyAlignment="1" applyProtection="1">
      <alignment horizontal="center" vertical="center" wrapText="1"/>
    </xf>
    <xf numFmtId="43" fontId="3" fillId="0" borderId="1" xfId="6" applyFont="1" applyFill="1" applyBorder="1" applyAlignment="1" applyProtection="1">
      <alignment horizontal="center" vertical="center" wrapText="1"/>
    </xf>
    <xf numFmtId="43" fontId="3" fillId="0" borderId="3" xfId="6" applyFont="1" applyFill="1" applyBorder="1" applyAlignment="1" applyProtection="1">
      <alignment horizontal="center" vertical="center" wrapText="1"/>
    </xf>
    <xf numFmtId="49" fontId="3" fillId="0" borderId="1" xfId="0" applyNumberFormat="1" applyFont="1" applyBorder="1" applyAlignment="1">
      <alignment horizontal="left" vertical="top" wrapText="1"/>
    </xf>
    <xf numFmtId="0" fontId="4" fillId="6" borderId="3" xfId="0" applyFont="1" applyFill="1" applyBorder="1" applyAlignment="1">
      <alignment horizontal="center" vertical="center"/>
    </xf>
    <xf numFmtId="0" fontId="3" fillId="0" borderId="10" xfId="0" applyFont="1" applyBorder="1" applyAlignment="1">
      <alignment horizontal="center" vertical="center" wrapText="1"/>
    </xf>
    <xf numFmtId="43" fontId="3" fillId="0" borderId="1" xfId="6" applyFont="1" applyFill="1" applyBorder="1" applyAlignment="1" applyProtection="1">
      <alignment horizontal="left" vertical="top" wrapText="1"/>
    </xf>
    <xf numFmtId="0" fontId="3" fillId="0" borderId="1" xfId="0" applyFont="1" applyBorder="1" applyAlignment="1">
      <alignment horizontal="left" vertical="top" wrapText="1"/>
    </xf>
    <xf numFmtId="49" fontId="6" fillId="12" borderId="4" xfId="6" applyNumberFormat="1" applyFont="1" applyFill="1" applyBorder="1" applyAlignment="1" applyProtection="1">
      <alignment horizontal="center" vertical="center"/>
    </xf>
    <xf numFmtId="0" fontId="3" fillId="0" borderId="4" xfId="0" applyFont="1" applyBorder="1" applyAlignment="1">
      <alignment horizontal="center" vertical="center" wrapText="1"/>
    </xf>
    <xf numFmtId="49" fontId="27" fillId="0" borderId="3" xfId="0" applyNumberFormat="1" applyFont="1" applyBorder="1" applyAlignment="1">
      <alignment horizontal="left" vertical="top" wrapText="1"/>
    </xf>
    <xf numFmtId="0" fontId="3" fillId="6" borderId="10" xfId="0" applyFont="1" applyFill="1" applyBorder="1" applyAlignment="1">
      <alignment horizontal="center" vertical="center" wrapText="1"/>
    </xf>
    <xf numFmtId="0" fontId="3" fillId="6" borderId="4" xfId="0" applyFont="1" applyFill="1" applyBorder="1" applyAlignment="1">
      <alignment vertical="top" wrapText="1"/>
    </xf>
    <xf numFmtId="49" fontId="7" fillId="0" borderId="3" xfId="0" applyNumberFormat="1" applyFont="1" applyBorder="1" applyAlignment="1">
      <alignment horizontal="left" vertical="top" wrapText="1"/>
    </xf>
    <xf numFmtId="0" fontId="31" fillId="0" borderId="0" xfId="0" applyFont="1" applyAlignment="1">
      <alignment vertical="top" wrapText="1"/>
    </xf>
    <xf numFmtId="0" fontId="30" fillId="0" borderId="0" xfId="0" applyFont="1" applyAlignment="1">
      <alignment horizontal="left" vertical="top"/>
    </xf>
    <xf numFmtId="49" fontId="7" fillId="13" borderId="3" xfId="0" applyNumberFormat="1" applyFont="1" applyFill="1" applyBorder="1" applyAlignment="1">
      <alignment horizontal="left" vertical="top" wrapText="1"/>
    </xf>
    <xf numFmtId="49" fontId="6" fillId="13" borderId="4" xfId="0" applyNumberFormat="1" applyFont="1" applyFill="1" applyBorder="1" applyAlignment="1">
      <alignment horizontal="center" vertical="center"/>
    </xf>
    <xf numFmtId="0" fontId="6" fillId="13" borderId="4" xfId="0" applyFont="1" applyFill="1" applyBorder="1" applyAlignment="1">
      <alignment horizontal="center" vertical="center"/>
    </xf>
    <xf numFmtId="49" fontId="3" fillId="13" borderId="3" xfId="0" applyNumberFormat="1" applyFont="1" applyFill="1" applyBorder="1" applyAlignment="1">
      <alignment horizontal="left" vertical="top" wrapText="1"/>
    </xf>
    <xf numFmtId="49" fontId="3" fillId="13" borderId="3" xfId="0" applyNumberFormat="1" applyFont="1" applyFill="1" applyBorder="1" applyAlignment="1">
      <alignment horizontal="center" vertical="center" wrapText="1"/>
    </xf>
    <xf numFmtId="49" fontId="6" fillId="13" borderId="4" xfId="6" applyNumberFormat="1" applyFont="1" applyFill="1" applyBorder="1" applyAlignment="1" applyProtection="1">
      <alignment horizontal="center" vertical="center"/>
    </xf>
    <xf numFmtId="43" fontId="22" fillId="13" borderId="4" xfId="6" applyFont="1" applyFill="1" applyBorder="1" applyAlignment="1">
      <alignment horizontal="center" vertical="center"/>
    </xf>
    <xf numFmtId="0" fontId="3" fillId="13" borderId="4" xfId="0" applyFont="1" applyFill="1" applyBorder="1" applyAlignment="1">
      <alignment vertical="center" wrapText="1"/>
    </xf>
    <xf numFmtId="49" fontId="32" fillId="0" borderId="3" xfId="0" applyNumberFormat="1" applyFont="1" applyBorder="1" applyAlignment="1">
      <alignment horizontal="left" vertical="top" wrapText="1"/>
    </xf>
    <xf numFmtId="9" fontId="32" fillId="0" borderId="4" xfId="0" applyNumberFormat="1" applyFont="1" applyBorder="1" applyAlignment="1">
      <alignment vertical="top" wrapText="1"/>
    </xf>
    <xf numFmtId="0" fontId="3" fillId="0" borderId="4" xfId="0" applyFont="1" applyBorder="1" applyAlignment="1">
      <alignment vertical="top" wrapText="1"/>
    </xf>
    <xf numFmtId="0" fontId="3" fillId="6" borderId="1" xfId="0" applyFont="1" applyFill="1" applyBorder="1" applyAlignment="1">
      <alignment horizontal="center" vertical="center" wrapText="1"/>
    </xf>
    <xf numFmtId="0" fontId="2" fillId="0" borderId="0" xfId="7"/>
    <xf numFmtId="0" fontId="2" fillId="0" borderId="4" xfId="7" applyBorder="1"/>
    <xf numFmtId="0" fontId="2" fillId="0" borderId="4" xfId="7" applyBorder="1" applyAlignment="1">
      <alignment horizontal="center" vertical="center"/>
    </xf>
    <xf numFmtId="0" fontId="8" fillId="11" borderId="4" xfId="0" applyFont="1" applyFill="1" applyBorder="1" applyAlignment="1">
      <alignment horizontal="center" vertical="center"/>
    </xf>
    <xf numFmtId="0" fontId="8" fillId="7" borderId="4" xfId="0" applyFont="1" applyFill="1" applyBorder="1" applyAlignment="1">
      <alignment horizontal="center" vertical="center"/>
    </xf>
    <xf numFmtId="0" fontId="8" fillId="12" borderId="4" xfId="0" applyFont="1" applyFill="1" applyBorder="1" applyAlignment="1">
      <alignment horizontal="center" vertical="center"/>
    </xf>
    <xf numFmtId="0" fontId="7" fillId="0" borderId="4" xfId="0" applyFont="1" applyBorder="1"/>
    <xf numFmtId="0" fontId="3" fillId="0" borderId="11" xfId="0" applyFont="1" applyBorder="1" applyAlignment="1">
      <alignment vertical="center"/>
    </xf>
    <xf numFmtId="0" fontId="0" fillId="0" borderId="10" xfId="0" applyBorder="1"/>
    <xf numFmtId="0" fontId="0" fillId="0" borderId="9" xfId="0" applyBorder="1"/>
    <xf numFmtId="0" fontId="6" fillId="11" borderId="4" xfId="0" applyFont="1" applyFill="1" applyBorder="1" applyAlignment="1">
      <alignment horizontal="center" vertical="center"/>
    </xf>
    <xf numFmtId="165" fontId="0" fillId="11" borderId="4" xfId="0" applyNumberFormat="1" applyFill="1" applyBorder="1" applyAlignment="1">
      <alignment vertical="center"/>
    </xf>
    <xf numFmtId="43" fontId="22" fillId="11" borderId="4" xfId="6" applyFont="1" applyFill="1" applyBorder="1" applyAlignment="1">
      <alignment horizontal="center" vertical="center"/>
    </xf>
    <xf numFmtId="9" fontId="3" fillId="0" borderId="4" xfId="0" applyNumberFormat="1" applyFont="1" applyBorder="1" applyAlignment="1">
      <alignment vertical="top" wrapText="1"/>
    </xf>
    <xf numFmtId="0" fontId="7" fillId="0" borderId="4" xfId="0" applyFont="1" applyBorder="1" applyAlignment="1">
      <alignment wrapText="1"/>
    </xf>
    <xf numFmtId="49" fontId="6" fillId="11" borderId="4" xfId="0" applyNumberFormat="1" applyFont="1" applyFill="1" applyBorder="1" applyAlignment="1">
      <alignment horizontal="center" vertical="center"/>
    </xf>
    <xf numFmtId="49" fontId="3" fillId="0" borderId="3" xfId="0" applyNumberFormat="1" applyFont="1" applyBorder="1" applyAlignment="1">
      <alignment horizontal="left" vertical="center" wrapText="1"/>
    </xf>
    <xf numFmtId="43" fontId="3" fillId="6" borderId="4" xfId="6" quotePrefix="1" applyFont="1" applyFill="1" applyBorder="1" applyAlignment="1" applyProtection="1">
      <alignment vertical="center" wrapText="1"/>
    </xf>
    <xf numFmtId="0" fontId="18" fillId="15" borderId="3" xfId="0" quotePrefix="1" applyFont="1" applyFill="1" applyBorder="1" applyAlignment="1">
      <alignment horizontal="center" vertical="center" wrapText="1"/>
    </xf>
    <xf numFmtId="0" fontId="3" fillId="0" borderId="3" xfId="0" applyFont="1" applyBorder="1" applyAlignment="1">
      <alignment horizontal="center" vertical="center" wrapText="1"/>
    </xf>
    <xf numFmtId="1" fontId="6" fillId="0" borderId="4" xfId="6" applyNumberFormat="1" applyFont="1" applyFill="1" applyBorder="1" applyAlignment="1" applyProtection="1">
      <alignment horizontal="center" vertical="center"/>
    </xf>
    <xf numFmtId="2" fontId="3" fillId="0" borderId="3" xfId="0" applyNumberFormat="1" applyFont="1" applyBorder="1" applyAlignment="1">
      <alignment horizontal="center" vertical="center" wrapText="1"/>
    </xf>
    <xf numFmtId="0" fontId="3" fillId="6" borderId="3" xfId="0" applyFont="1" applyFill="1" applyBorder="1" applyAlignment="1">
      <alignment horizontal="center" vertical="center" wrapText="1"/>
    </xf>
    <xf numFmtId="2" fontId="0" fillId="6" borderId="4" xfId="0" applyNumberFormat="1" applyFill="1" applyBorder="1" applyAlignment="1">
      <alignment horizontal="center" vertical="center" wrapText="1"/>
    </xf>
    <xf numFmtId="165" fontId="0" fillId="17" borderId="4" xfId="0" applyNumberFormat="1" applyFill="1" applyBorder="1" applyAlignment="1">
      <alignment vertical="center"/>
    </xf>
    <xf numFmtId="165" fontId="0" fillId="16" borderId="4" xfId="0" applyNumberFormat="1" applyFill="1" applyBorder="1" applyAlignment="1">
      <alignment vertical="center"/>
    </xf>
    <xf numFmtId="0" fontId="7" fillId="0" borderId="4" xfId="0" applyFont="1" applyBorder="1" applyAlignment="1">
      <alignment horizontal="center" vertical="center"/>
    </xf>
    <xf numFmtId="0" fontId="7" fillId="0" borderId="11" xfId="0" applyFont="1" applyBorder="1" applyAlignment="1">
      <alignment horizontal="center" vertical="center"/>
    </xf>
    <xf numFmtId="0" fontId="7" fillId="0" borderId="10" xfId="0" applyFont="1" applyBorder="1" applyAlignment="1">
      <alignment horizontal="center" vertical="center"/>
    </xf>
    <xf numFmtId="0" fontId="7" fillId="0" borderId="9" xfId="0" applyFont="1" applyBorder="1" applyAlignment="1">
      <alignment horizontal="center" vertical="center"/>
    </xf>
    <xf numFmtId="0" fontId="34" fillId="0" borderId="0" xfId="0" applyFont="1" applyAlignment="1">
      <alignment horizontal="center" vertical="center"/>
    </xf>
    <xf numFmtId="0" fontId="7" fillId="0" borderId="12" xfId="0" applyFont="1" applyBorder="1" applyAlignment="1">
      <alignment horizontal="center" vertical="center"/>
    </xf>
    <xf numFmtId="0" fontId="0" fillId="14" borderId="0" xfId="0" applyFill="1" applyAlignment="1">
      <alignment horizontal="center" vertical="center" textRotation="90"/>
    </xf>
    <xf numFmtId="0" fontId="0" fillId="14" borderId="0" xfId="0" applyFill="1" applyAlignment="1">
      <alignment horizontal="center" vertical="center"/>
    </xf>
    <xf numFmtId="0" fontId="7" fillId="0" borderId="13" xfId="0" applyFont="1" applyBorder="1" applyAlignment="1">
      <alignment horizontal="center" vertical="center"/>
    </xf>
    <xf numFmtId="0" fontId="7" fillId="0" borderId="6" xfId="0" applyFont="1" applyBorder="1" applyAlignment="1">
      <alignment horizontal="center" vertical="center"/>
    </xf>
    <xf numFmtId="0" fontId="7" fillId="0" borderId="7" xfId="0" applyFont="1" applyBorder="1" applyAlignment="1">
      <alignment horizontal="center" vertical="center"/>
    </xf>
    <xf numFmtId="0" fontId="7" fillId="0" borderId="14" xfId="0" applyFont="1" applyBorder="1" applyAlignment="1">
      <alignment horizontal="center" vertical="center"/>
    </xf>
    <xf numFmtId="0" fontId="7" fillId="0" borderId="8" xfId="0" applyFont="1" applyBorder="1" applyAlignment="1">
      <alignment horizontal="center" vertical="center"/>
    </xf>
    <xf numFmtId="0" fontId="7" fillId="0" borderId="1" xfId="0" applyFont="1" applyBorder="1" applyAlignment="1">
      <alignment horizontal="center" vertical="center"/>
    </xf>
    <xf numFmtId="0" fontId="7" fillId="0" borderId="3" xfId="0" applyFont="1" applyBorder="1" applyAlignment="1">
      <alignment horizontal="center" vertical="center"/>
    </xf>
    <xf numFmtId="0" fontId="2" fillId="0" borderId="4" xfId="7" applyBorder="1" applyAlignment="1">
      <alignment horizontal="center" vertical="center"/>
    </xf>
    <xf numFmtId="0" fontId="2" fillId="0" borderId="4" xfId="7" applyBorder="1" applyAlignment="1">
      <alignment horizontal="left" vertical="center"/>
    </xf>
    <xf numFmtId="0" fontId="2" fillId="0" borderId="4" xfId="7" applyBorder="1" applyAlignment="1">
      <alignment horizontal="left"/>
    </xf>
    <xf numFmtId="0" fontId="2" fillId="0" borderId="4" xfId="7" applyBorder="1" applyAlignment="1">
      <alignment horizontal="center"/>
    </xf>
    <xf numFmtId="0" fontId="33" fillId="0" borderId="0" xfId="7" applyFont="1" applyAlignment="1">
      <alignment horizontal="center" vertical="center"/>
    </xf>
    <xf numFmtId="0" fontId="1" fillId="0" borderId="4" xfId="7" applyFont="1" applyBorder="1" applyAlignment="1">
      <alignment horizontal="center"/>
    </xf>
    <xf numFmtId="0" fontId="29" fillId="0" borderId="4" xfId="7" applyFont="1" applyBorder="1" applyAlignment="1">
      <alignment horizontal="center"/>
    </xf>
    <xf numFmtId="0" fontId="7" fillId="0" borderId="5" xfId="0" applyFont="1" applyBorder="1" applyAlignment="1">
      <alignment horizontal="center"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9" fillId="5" borderId="7" xfId="0" applyFont="1" applyFill="1" applyBorder="1" applyAlignment="1">
      <alignment horizontal="center" vertical="center" wrapText="1"/>
    </xf>
    <xf numFmtId="0" fontId="9" fillId="5" borderId="5" xfId="0" applyFont="1" applyFill="1" applyBorder="1" applyAlignment="1">
      <alignment horizontal="center" vertical="center" wrapText="1"/>
    </xf>
    <xf numFmtId="0" fontId="9" fillId="5" borderId="8" xfId="0" applyFont="1" applyFill="1" applyBorder="1" applyAlignment="1">
      <alignment horizontal="center" vertical="center" wrapText="1"/>
    </xf>
    <xf numFmtId="0" fontId="9" fillId="5" borderId="1" xfId="0" applyFont="1" applyFill="1" applyBorder="1" applyAlignment="1">
      <alignment horizontal="center" vertical="center" wrapText="1"/>
    </xf>
    <xf numFmtId="0" fontId="9" fillId="5" borderId="2" xfId="0" applyFont="1" applyFill="1" applyBorder="1" applyAlignment="1">
      <alignment horizontal="center" vertical="center" wrapText="1"/>
    </xf>
    <xf numFmtId="0" fontId="9" fillId="5" borderId="3" xfId="0" applyFont="1" applyFill="1" applyBorder="1" applyAlignment="1">
      <alignment horizontal="center" vertical="center" wrapText="1"/>
    </xf>
    <xf numFmtId="43" fontId="7" fillId="0" borderId="4" xfId="6" applyFont="1" applyFill="1" applyBorder="1" applyAlignment="1" applyProtection="1">
      <alignment horizontal="center" vertical="center" wrapText="1"/>
    </xf>
    <xf numFmtId="43" fontId="7" fillId="0" borderId="1" xfId="6" applyFont="1" applyFill="1" applyBorder="1" applyAlignment="1" applyProtection="1">
      <alignment horizontal="center" vertical="center" wrapText="1"/>
    </xf>
    <xf numFmtId="43" fontId="7" fillId="0" borderId="3" xfId="6" applyFont="1" applyFill="1" applyBorder="1" applyAlignment="1" applyProtection="1">
      <alignment horizontal="center" vertical="center" wrapText="1"/>
    </xf>
    <xf numFmtId="0" fontId="7" fillId="0" borderId="1" xfId="0" applyFont="1" applyBorder="1" applyAlignment="1">
      <alignment horizontal="center" vertical="center" wrapText="1"/>
    </xf>
    <xf numFmtId="0" fontId="7" fillId="0" borderId="2" xfId="0" applyFont="1" applyBorder="1" applyAlignment="1">
      <alignment horizontal="center" vertical="center" wrapText="1"/>
    </xf>
    <xf numFmtId="0" fontId="7" fillId="0" borderId="3" xfId="0" applyFont="1" applyBorder="1" applyAlignment="1">
      <alignment horizontal="center" vertical="center" wrapText="1"/>
    </xf>
    <xf numFmtId="0" fontId="0" fillId="0" borderId="0" xfId="0" applyAlignment="1">
      <alignment horizontal="center"/>
    </xf>
    <xf numFmtId="43" fontId="7" fillId="0" borderId="1" xfId="6" applyFont="1" applyBorder="1" applyAlignment="1">
      <alignment horizontal="center" vertical="center"/>
    </xf>
    <xf numFmtId="43" fontId="7" fillId="0" borderId="2" xfId="6" applyFont="1" applyBorder="1" applyAlignment="1">
      <alignment horizontal="center" vertical="center"/>
    </xf>
    <xf numFmtId="43" fontId="3" fillId="0" borderId="1" xfId="6" applyFont="1" applyFill="1" applyBorder="1" applyAlignment="1" applyProtection="1">
      <alignment horizontal="center" vertical="center" wrapText="1"/>
    </xf>
    <xf numFmtId="43" fontId="3" fillId="0" borderId="3" xfId="6" applyFont="1" applyFill="1" applyBorder="1" applyAlignment="1" applyProtection="1">
      <alignment horizontal="center" vertical="center" wrapText="1"/>
    </xf>
    <xf numFmtId="165" fontId="0" fillId="0" borderId="12" xfId="0" applyNumberFormat="1" applyBorder="1" applyAlignment="1">
      <alignment horizontal="center" vertical="center"/>
    </xf>
    <xf numFmtId="0" fontId="25" fillId="5" borderId="6" xfId="0" applyFont="1" applyFill="1" applyBorder="1" applyAlignment="1">
      <alignment horizontal="center" vertical="center"/>
    </xf>
    <xf numFmtId="0" fontId="25" fillId="5" borderId="0" xfId="0" applyFont="1" applyFill="1" applyAlignment="1">
      <alignment horizontal="center" vertical="center"/>
    </xf>
    <xf numFmtId="0" fontId="25" fillId="5" borderId="12" xfId="0" applyFont="1" applyFill="1" applyBorder="1" applyAlignment="1">
      <alignment horizontal="center" vertical="center"/>
    </xf>
    <xf numFmtId="0" fontId="19" fillId="5" borderId="7" xfId="0" applyFont="1" applyFill="1" applyBorder="1" applyAlignment="1">
      <alignment horizontal="center" vertical="center" wrapText="1"/>
    </xf>
    <xf numFmtId="0" fontId="6" fillId="0" borderId="5" xfId="0" applyFont="1" applyBorder="1" applyAlignment="1">
      <alignment horizontal="center" vertical="center" wrapText="1"/>
    </xf>
    <xf numFmtId="0" fontId="6" fillId="0" borderId="8" xfId="0" applyFont="1" applyBorder="1" applyAlignment="1">
      <alignment horizontal="center" vertical="center" wrapText="1"/>
    </xf>
    <xf numFmtId="0" fontId="18" fillId="5" borderId="1" xfId="0" applyFont="1" applyFill="1" applyBorder="1" applyAlignment="1">
      <alignment vertical="center" wrapText="1"/>
    </xf>
    <xf numFmtId="0" fontId="18" fillId="5" borderId="2" xfId="0" applyFont="1" applyFill="1" applyBorder="1" applyAlignment="1">
      <alignment vertical="center" wrapText="1"/>
    </xf>
    <xf numFmtId="0" fontId="18" fillId="5" borderId="1" xfId="0" applyFont="1" applyFill="1" applyBorder="1" applyAlignment="1">
      <alignment horizontal="center" vertical="center" wrapText="1"/>
    </xf>
    <xf numFmtId="0" fontId="18" fillId="5" borderId="2" xfId="0" applyFont="1" applyFill="1" applyBorder="1" applyAlignment="1">
      <alignment horizontal="center" vertical="center" wrapText="1"/>
    </xf>
    <xf numFmtId="165" fontId="18" fillId="5" borderId="1" xfId="0" applyNumberFormat="1" applyFont="1" applyFill="1" applyBorder="1" applyAlignment="1">
      <alignment horizontal="center" vertical="center" wrapText="1"/>
    </xf>
    <xf numFmtId="165" fontId="18" fillId="5" borderId="2" xfId="0" applyNumberFormat="1" applyFont="1" applyFill="1" applyBorder="1" applyAlignment="1">
      <alignment horizontal="center" vertical="center" wrapText="1"/>
    </xf>
    <xf numFmtId="43" fontId="7" fillId="0" borderId="2" xfId="6" applyFont="1" applyFill="1" applyBorder="1" applyAlignment="1" applyProtection="1">
      <alignment horizontal="center" vertical="center" wrapText="1"/>
    </xf>
    <xf numFmtId="0" fontId="3" fillId="6" borderId="1" xfId="0" applyFont="1" applyFill="1" applyBorder="1" applyAlignment="1">
      <alignment horizontal="center" vertical="center" wrapText="1"/>
    </xf>
    <xf numFmtId="0" fontId="3" fillId="6" borderId="3" xfId="0" applyFont="1" applyFill="1" applyBorder="1" applyAlignment="1">
      <alignment horizontal="center" vertical="center" wrapText="1"/>
    </xf>
    <xf numFmtId="0" fontId="18" fillId="15" borderId="1" xfId="0" applyFont="1" applyFill="1" applyBorder="1" applyAlignment="1">
      <alignment horizontal="center" vertical="center" wrapText="1"/>
    </xf>
    <xf numFmtId="0" fontId="18" fillId="15" borderId="2" xfId="0" applyFont="1" applyFill="1" applyBorder="1" applyAlignment="1">
      <alignment horizontal="center" vertical="center" wrapText="1"/>
    </xf>
    <xf numFmtId="0" fontId="7" fillId="6" borderId="1" xfId="0" applyFont="1" applyFill="1" applyBorder="1" applyAlignment="1">
      <alignment horizontal="center" vertical="center"/>
    </xf>
    <xf numFmtId="0" fontId="7" fillId="6" borderId="2" xfId="0" applyFont="1" applyFill="1" applyBorder="1" applyAlignment="1">
      <alignment horizontal="center" vertical="center"/>
    </xf>
    <xf numFmtId="0" fontId="7" fillId="6" borderId="3" xfId="0" applyFont="1" applyFill="1" applyBorder="1" applyAlignment="1">
      <alignment horizontal="center" vertical="center"/>
    </xf>
    <xf numFmtId="0" fontId="7" fillId="6" borderId="1" xfId="0" applyFont="1" applyFill="1" applyBorder="1" applyAlignment="1">
      <alignment horizontal="center" vertical="center" wrapText="1"/>
    </xf>
    <xf numFmtId="0" fontId="7" fillId="6" borderId="2" xfId="0" applyFont="1" applyFill="1" applyBorder="1" applyAlignment="1">
      <alignment horizontal="center" vertical="center" wrapText="1"/>
    </xf>
    <xf numFmtId="0" fontId="7" fillId="6" borderId="3" xfId="0" applyFont="1" applyFill="1" applyBorder="1" applyAlignment="1">
      <alignment horizontal="center" vertical="center" wrapText="1"/>
    </xf>
    <xf numFmtId="0" fontId="7" fillId="6" borderId="4" xfId="0" applyFont="1" applyFill="1" applyBorder="1" applyAlignment="1">
      <alignment horizontal="center" vertical="center"/>
    </xf>
    <xf numFmtId="0" fontId="36" fillId="6" borderId="0" xfId="5" applyFont="1" applyFill="1" applyAlignment="1">
      <alignment horizontal="center" vertical="center"/>
    </xf>
    <xf numFmtId="0" fontId="35" fillId="6" borderId="0" xfId="0" applyFont="1" applyFill="1" applyAlignment="1">
      <alignment horizontal="center" vertical="center"/>
    </xf>
    <xf numFmtId="0" fontId="5" fillId="0" borderId="11" xfId="0" applyFont="1" applyBorder="1" applyAlignment="1">
      <alignment horizontal="center" wrapText="1"/>
    </xf>
    <xf numFmtId="0" fontId="0" fillId="0" borderId="9" xfId="0" applyBorder="1" applyAlignment="1">
      <alignment horizontal="center" wrapText="1"/>
    </xf>
    <xf numFmtId="0" fontId="0" fillId="0" borderId="11" xfId="0" applyBorder="1" applyAlignment="1">
      <alignment wrapText="1"/>
    </xf>
    <xf numFmtId="0" fontId="0" fillId="0" borderId="9" xfId="0" applyBorder="1" applyAlignment="1">
      <alignment wrapText="1"/>
    </xf>
    <xf numFmtId="0" fontId="21" fillId="0" borderId="11" xfId="0" applyFont="1" applyBorder="1" applyAlignment="1">
      <alignment horizontal="center" wrapText="1"/>
    </xf>
    <xf numFmtId="0" fontId="21" fillId="0" borderId="9" xfId="0" applyFont="1" applyBorder="1" applyAlignment="1">
      <alignment horizontal="center" wrapText="1"/>
    </xf>
    <xf numFmtId="0" fontId="5" fillId="0" borderId="9" xfId="0" applyFont="1" applyBorder="1" applyAlignment="1">
      <alignment horizontal="center" wrapText="1"/>
    </xf>
    <xf numFmtId="0" fontId="0" fillId="10" borderId="11" xfId="0" applyFill="1" applyBorder="1" applyAlignment="1">
      <alignment horizontal="center"/>
    </xf>
    <xf numFmtId="0" fontId="0" fillId="10" borderId="9" xfId="0" applyFill="1" applyBorder="1" applyAlignment="1">
      <alignment horizontal="center"/>
    </xf>
    <xf numFmtId="0" fontId="5" fillId="0" borderId="11" xfId="0" applyFont="1" applyBorder="1" applyAlignment="1">
      <alignment wrapText="1"/>
    </xf>
  </cellXfs>
  <cellStyles count="8">
    <cellStyle name="Lien hypertexte" xfId="1" builtinId="8"/>
    <cellStyle name="Lien hypertexte visité" xfId="4" builtinId="9" hidden="1"/>
    <cellStyle name="Milliers" xfId="6" builtinId="3"/>
    <cellStyle name="Milliers 2" xfId="3" xr:uid="{00000000-0005-0000-0000-000003000000}"/>
    <cellStyle name="Normal" xfId="0" builtinId="0"/>
    <cellStyle name="Normal 2" xfId="2" xr:uid="{00000000-0005-0000-0000-000005000000}"/>
    <cellStyle name="Normal 3" xfId="5" xr:uid="{00000000-0005-0000-0000-000006000000}"/>
    <cellStyle name="Normal 4" xfId="7" xr:uid="{DE458CE0-2EB6-49D6-AEE4-4A7380862B8F}"/>
  </cellStyles>
  <dxfs count="43">
    <dxf>
      <fill>
        <patternFill>
          <bgColor rgb="FFC00000"/>
        </patternFill>
      </fill>
    </dxf>
    <dxf>
      <fill>
        <patternFill>
          <bgColor rgb="FFFFC000"/>
        </patternFill>
      </fill>
    </dxf>
    <dxf>
      <fill>
        <patternFill>
          <bgColor rgb="FF99FF99"/>
        </patternFill>
      </fill>
    </dxf>
    <dxf>
      <fill>
        <patternFill>
          <bgColor rgb="FF99FF99"/>
        </patternFill>
      </fill>
    </dxf>
    <dxf>
      <fill>
        <patternFill>
          <bgColor rgb="FFFFC000"/>
        </patternFill>
      </fill>
    </dxf>
    <dxf>
      <fill>
        <patternFill>
          <bgColor rgb="FFC00000"/>
        </patternFill>
      </fill>
    </dxf>
    <dxf>
      <fill>
        <patternFill>
          <bgColor rgb="FFC00000"/>
        </patternFill>
      </fill>
    </dxf>
    <dxf>
      <fill>
        <patternFill>
          <bgColor rgb="FF99FF99"/>
        </patternFill>
      </fill>
    </dxf>
    <dxf>
      <fill>
        <patternFill>
          <bgColor rgb="FFFFC000"/>
        </patternFill>
      </fill>
    </dxf>
    <dxf>
      <fill>
        <patternFill>
          <bgColor indexed="11"/>
        </patternFill>
      </fill>
    </dxf>
    <dxf>
      <fill>
        <patternFill>
          <bgColor indexed="52"/>
        </patternFill>
      </fill>
    </dxf>
    <dxf>
      <fill>
        <patternFill>
          <bgColor indexed="10"/>
        </patternFill>
      </fill>
    </dxf>
    <dxf>
      <fill>
        <patternFill>
          <bgColor indexed="11"/>
        </patternFill>
      </fill>
    </dxf>
    <dxf>
      <fill>
        <patternFill>
          <bgColor indexed="52"/>
        </patternFill>
      </fill>
    </dxf>
    <dxf>
      <fill>
        <patternFill>
          <bgColor indexed="10"/>
        </patternFill>
      </fill>
    </dxf>
    <dxf>
      <fill>
        <patternFill>
          <bgColor indexed="10"/>
        </patternFill>
      </fill>
    </dxf>
    <dxf>
      <fill>
        <patternFill>
          <bgColor indexed="10"/>
        </patternFill>
      </fill>
    </dxf>
    <dxf>
      <fill>
        <patternFill>
          <bgColor indexed="11"/>
        </patternFill>
      </fill>
    </dxf>
    <dxf>
      <fill>
        <patternFill>
          <bgColor indexed="52"/>
        </patternFill>
      </fill>
    </dxf>
    <dxf>
      <fill>
        <patternFill>
          <bgColor indexed="10"/>
        </patternFill>
      </fill>
    </dxf>
    <dxf>
      <fill>
        <patternFill>
          <bgColor indexed="11"/>
        </patternFill>
      </fill>
    </dxf>
    <dxf>
      <fill>
        <patternFill>
          <bgColor indexed="52"/>
        </patternFill>
      </fill>
    </dxf>
    <dxf>
      <fill>
        <patternFill>
          <bgColor indexed="10"/>
        </patternFill>
      </fill>
    </dxf>
    <dxf>
      <fill>
        <patternFill>
          <bgColor indexed="11"/>
        </patternFill>
      </fill>
    </dxf>
    <dxf>
      <fill>
        <patternFill>
          <bgColor indexed="52"/>
        </patternFill>
      </fill>
    </dxf>
    <dxf>
      <fill>
        <patternFill>
          <bgColor indexed="10"/>
        </patternFill>
      </fill>
    </dxf>
    <dxf>
      <fill>
        <patternFill>
          <bgColor indexed="10"/>
        </patternFill>
      </fill>
    </dxf>
    <dxf>
      <font>
        <b val="0"/>
        <i val="0"/>
        <strike val="0"/>
        <condense val="0"/>
        <extend val="0"/>
        <outline val="0"/>
        <shadow val="0"/>
        <u val="none"/>
        <vertAlign val="baseline"/>
        <sz val="10"/>
        <color theme="1"/>
        <name val="Calibri"/>
        <scheme val="minor"/>
      </font>
      <alignment horizontal="general" vertical="bottom" textRotation="0" wrapText="1" indent="0" justifyLastLine="0" shrinkToFit="0" readingOrder="0"/>
    </dxf>
    <dxf>
      <font>
        <b val="0"/>
        <strike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alignment horizontal="general" vertical="bottom" textRotation="0" wrapText="1" indent="0" justifyLastLine="0" shrinkToFit="0" readingOrder="0"/>
    </dxf>
    <dxf>
      <font>
        <b val="0"/>
        <i val="0"/>
        <strike val="0"/>
        <condense val="0"/>
        <extend val="0"/>
        <outline val="0"/>
        <shadow val="0"/>
        <u val="none"/>
        <vertAlign val="baseline"/>
        <sz val="10"/>
        <color theme="1"/>
        <name val="Calibri"/>
        <scheme val="minor"/>
      </font>
      <alignment horizontal="general" vertical="center" textRotation="0" wrapText="0" indent="0" justifyLastLine="0" shrinkToFit="0" readingOrder="0"/>
    </dxf>
    <dxf>
      <font>
        <b val="0"/>
        <strike val="0"/>
        <outline val="0"/>
        <shadow val="0"/>
        <u val="none"/>
        <vertAlign val="baseline"/>
        <sz val="10"/>
        <color theme="1"/>
        <name val="Calibri"/>
        <scheme val="minor"/>
      </font>
    </dxf>
    <dxf>
      <font>
        <b/>
        <i val="0"/>
        <strike val="0"/>
        <condense val="0"/>
        <extend val="0"/>
        <outline val="0"/>
        <shadow val="0"/>
        <u val="none"/>
        <vertAlign val="baseline"/>
        <sz val="10"/>
        <color theme="1"/>
        <name val="Calibri"/>
        <scheme val="minor"/>
      </font>
    </dxf>
    <dxf>
      <font>
        <strike val="0"/>
        <outline val="0"/>
        <shadow val="0"/>
        <u val="none"/>
        <vertAlign val="baseline"/>
        <sz val="10"/>
        <color theme="1"/>
        <name val="Calibri"/>
        <scheme val="minor"/>
      </font>
    </dxf>
    <dxf>
      <font>
        <strike val="0"/>
        <outline val="0"/>
        <shadow val="0"/>
        <u val="none"/>
        <vertAlign val="baseline"/>
        <sz val="10"/>
        <color theme="1"/>
        <name val="Calibri"/>
        <scheme val="minor"/>
      </font>
      <alignment horizontal="general" vertical="bottom" textRotation="0" wrapText="1" indent="0" justifyLastLine="0" shrinkToFit="0" readingOrder="0"/>
    </dxf>
    <dxf>
      <font>
        <strike val="0"/>
        <outline val="0"/>
        <shadow val="0"/>
        <u val="none"/>
        <vertAlign val="baseline"/>
        <sz val="10"/>
        <color theme="1"/>
        <name val="Calibri"/>
        <scheme val="minor"/>
      </font>
    </dxf>
    <dxf>
      <font>
        <strike val="0"/>
        <outline val="0"/>
        <shadow val="0"/>
        <u val="none"/>
        <vertAlign val="baseline"/>
        <sz val="10"/>
        <color theme="1"/>
        <name val="Calibri"/>
        <scheme val="minor"/>
      </font>
    </dxf>
    <dxf>
      <font>
        <strike val="0"/>
        <outline val="0"/>
        <shadow val="0"/>
        <u val="none"/>
        <vertAlign val="baseline"/>
        <sz val="10"/>
        <color theme="1"/>
        <name val="Calibri"/>
        <scheme val="minor"/>
      </font>
    </dxf>
    <dxf>
      <font>
        <strike val="0"/>
        <outline val="0"/>
        <shadow val="0"/>
        <u val="none"/>
        <vertAlign val="baseline"/>
        <sz val="10"/>
        <color theme="1"/>
        <name val="Calibri"/>
        <scheme val="minor"/>
      </font>
    </dxf>
    <dxf>
      <font>
        <strike val="0"/>
        <outline val="0"/>
        <shadow val="0"/>
        <u val="none"/>
        <vertAlign val="baseline"/>
        <sz val="10"/>
        <color theme="1"/>
        <name val="Calibri"/>
        <scheme val="minor"/>
      </font>
      <alignment horizontal="general" vertical="bottom" textRotation="0" wrapText="1" indent="0" justifyLastLine="0" shrinkToFit="0" readingOrder="0"/>
    </dxf>
    <dxf>
      <font>
        <b/>
        <i val="0"/>
        <strike val="0"/>
        <condense val="0"/>
        <extend val="0"/>
        <outline val="0"/>
        <shadow val="0"/>
        <u val="none"/>
        <vertAlign val="baseline"/>
        <sz val="10"/>
        <color theme="1"/>
        <name val="Calibri"/>
        <scheme val="minor"/>
      </font>
      <alignment horizontal="left" vertical="center" textRotation="0" wrapText="1" indent="0" justifyLastLine="0" shrinkToFit="0" readingOrder="0"/>
    </dxf>
    <dxf>
      <font>
        <strike val="0"/>
        <outline val="0"/>
        <shadow val="0"/>
        <u val="none"/>
        <vertAlign val="baseline"/>
        <sz val="10"/>
        <color theme="1"/>
        <name val="Calibri"/>
        <scheme val="minor"/>
      </font>
    </dxf>
    <dxf>
      <font>
        <strike val="0"/>
        <outline val="0"/>
        <shadow val="0"/>
        <u val="none"/>
        <vertAlign val="baseline"/>
        <sz val="10"/>
        <color theme="1"/>
        <name val="Calibri"/>
        <scheme val="minor"/>
      </font>
    </dxf>
  </dxfs>
  <tableStyles count="0" defaultTableStyle="TableStyleMedium2" defaultPivotStyle="PivotStyleLight16"/>
  <colors>
    <mruColors>
      <color rgb="FF99FF99"/>
      <color rgb="FF00FF00"/>
      <color rgb="FFFF6600"/>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38100</xdr:rowOff>
    </xdr:from>
    <xdr:to>
      <xdr:col>1</xdr:col>
      <xdr:colOff>4762</xdr:colOff>
      <xdr:row>2</xdr:row>
      <xdr:rowOff>225370</xdr:rowOff>
    </xdr:to>
    <xdr:pic>
      <xdr:nvPicPr>
        <xdr:cNvPr id="2" name="Image 1">
          <a:extLst>
            <a:ext uri="{FF2B5EF4-FFF2-40B4-BE49-F238E27FC236}">
              <a16:creationId xmlns:a16="http://schemas.microsoft.com/office/drawing/2014/main" id="{93624553-49C1-4F0D-8F7E-70F04AF93A70}"/>
            </a:ext>
          </a:extLst>
        </xdr:cNvPr>
        <xdr:cNvPicPr>
          <a:picLocks noChangeAspect="1"/>
        </xdr:cNvPicPr>
      </xdr:nvPicPr>
      <xdr:blipFill>
        <a:blip xmlns:r="http://schemas.openxmlformats.org/officeDocument/2006/relationships" r:embed="rId1"/>
        <a:stretch>
          <a:fillRect/>
        </a:stretch>
      </xdr:blipFill>
      <xdr:spPr>
        <a:xfrm>
          <a:off x="0" y="38100"/>
          <a:ext cx="1790700" cy="50223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1202532</xdr:colOff>
      <xdr:row>6</xdr:row>
      <xdr:rowOff>103981</xdr:rowOff>
    </xdr:from>
    <xdr:ext cx="12144375" cy="7326879"/>
    <xdr:pic>
      <xdr:nvPicPr>
        <xdr:cNvPr id="2" name="Image 1">
          <a:extLst>
            <a:ext uri="{FF2B5EF4-FFF2-40B4-BE49-F238E27FC236}">
              <a16:creationId xmlns:a16="http://schemas.microsoft.com/office/drawing/2014/main" id="{BBF97BF7-C2F3-456A-BFD5-7396F9D4C11E}"/>
            </a:ext>
          </a:extLst>
        </xdr:cNvPr>
        <xdr:cNvPicPr>
          <a:picLocks noChangeAspect="1"/>
        </xdr:cNvPicPr>
      </xdr:nvPicPr>
      <xdr:blipFill>
        <a:blip xmlns:r="http://schemas.openxmlformats.org/officeDocument/2006/relationships" r:embed="rId1"/>
        <a:stretch>
          <a:fillRect/>
        </a:stretch>
      </xdr:blipFill>
      <xdr:spPr>
        <a:xfrm>
          <a:off x="1202532" y="1246981"/>
          <a:ext cx="12144375" cy="7326879"/>
        </a:xfrm>
        <a:prstGeom prst="rect">
          <a:avLst/>
        </a:prstGeom>
      </xdr:spPr>
    </xdr:pic>
    <xdr:clientData/>
  </xdr:oneCellAnchor>
  <xdr:twoCellAnchor editAs="oneCell">
    <xdr:from>
      <xdr:col>0</xdr:col>
      <xdr:colOff>0</xdr:colOff>
      <xdr:row>0</xdr:row>
      <xdr:rowOff>65088</xdr:rowOff>
    </xdr:from>
    <xdr:to>
      <xdr:col>1</xdr:col>
      <xdr:colOff>654843</xdr:colOff>
      <xdr:row>4</xdr:row>
      <xdr:rowOff>66245</xdr:rowOff>
    </xdr:to>
    <xdr:pic>
      <xdr:nvPicPr>
        <xdr:cNvPr id="4" name="Image 3">
          <a:extLst>
            <a:ext uri="{FF2B5EF4-FFF2-40B4-BE49-F238E27FC236}">
              <a16:creationId xmlns:a16="http://schemas.microsoft.com/office/drawing/2014/main" id="{772FB1A3-B5DD-46E2-9E2E-B689E83B2FD6}"/>
            </a:ext>
          </a:extLst>
        </xdr:cNvPr>
        <xdr:cNvPicPr>
          <a:picLocks noChangeAspect="1"/>
        </xdr:cNvPicPr>
      </xdr:nvPicPr>
      <xdr:blipFill>
        <a:blip xmlns:r="http://schemas.openxmlformats.org/officeDocument/2006/relationships" r:embed="rId2"/>
        <a:stretch>
          <a:fillRect/>
        </a:stretch>
      </xdr:blipFill>
      <xdr:spPr>
        <a:xfrm>
          <a:off x="0" y="65088"/>
          <a:ext cx="2536031" cy="72188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178593</xdr:colOff>
      <xdr:row>21</xdr:row>
      <xdr:rowOff>369095</xdr:rowOff>
    </xdr:from>
    <xdr:to>
      <xdr:col>11</xdr:col>
      <xdr:colOff>3325206</xdr:colOff>
      <xdr:row>21</xdr:row>
      <xdr:rowOff>1488931</xdr:rowOff>
    </xdr:to>
    <xdr:pic>
      <xdr:nvPicPr>
        <xdr:cNvPr id="2" name="Image 1">
          <a:extLst>
            <a:ext uri="{FF2B5EF4-FFF2-40B4-BE49-F238E27FC236}">
              <a16:creationId xmlns:a16="http://schemas.microsoft.com/office/drawing/2014/main" id="{7E52AEBD-0DC5-4842-97D0-DEE3150B9C0F}"/>
            </a:ext>
          </a:extLst>
        </xdr:cNvPr>
        <xdr:cNvPicPr>
          <a:picLocks noChangeAspect="1"/>
        </xdr:cNvPicPr>
      </xdr:nvPicPr>
      <xdr:blipFill>
        <a:blip xmlns:r="http://schemas.openxmlformats.org/officeDocument/2006/relationships" r:embed="rId1"/>
        <a:stretch>
          <a:fillRect/>
        </a:stretch>
      </xdr:blipFill>
      <xdr:spPr>
        <a:xfrm>
          <a:off x="20612893" y="12700795"/>
          <a:ext cx="3146613" cy="1119836"/>
        </a:xfrm>
        <a:prstGeom prst="rect">
          <a:avLst/>
        </a:prstGeom>
      </xdr:spPr>
    </xdr:pic>
    <xdr:clientData/>
  </xdr:twoCellAnchor>
  <xdr:twoCellAnchor editAs="oneCell">
    <xdr:from>
      <xdr:col>0</xdr:col>
      <xdr:colOff>0</xdr:colOff>
      <xdr:row>0</xdr:row>
      <xdr:rowOff>41274</xdr:rowOff>
    </xdr:from>
    <xdr:to>
      <xdr:col>1</xdr:col>
      <xdr:colOff>811854</xdr:colOff>
      <xdr:row>4</xdr:row>
      <xdr:rowOff>26193</xdr:rowOff>
    </xdr:to>
    <xdr:pic>
      <xdr:nvPicPr>
        <xdr:cNvPr id="3" name="Image 2">
          <a:extLst>
            <a:ext uri="{FF2B5EF4-FFF2-40B4-BE49-F238E27FC236}">
              <a16:creationId xmlns:a16="http://schemas.microsoft.com/office/drawing/2014/main" id="{1C1DE9D6-FED5-455B-9B62-371BD288F59C}"/>
            </a:ext>
          </a:extLst>
        </xdr:cNvPr>
        <xdr:cNvPicPr>
          <a:picLocks noChangeAspect="1"/>
        </xdr:cNvPicPr>
      </xdr:nvPicPr>
      <xdr:blipFill>
        <a:blip xmlns:r="http://schemas.openxmlformats.org/officeDocument/2006/relationships" r:embed="rId2"/>
        <a:stretch>
          <a:fillRect/>
        </a:stretch>
      </xdr:blipFill>
      <xdr:spPr>
        <a:xfrm>
          <a:off x="0" y="41274"/>
          <a:ext cx="2312042" cy="65801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32543</xdr:rowOff>
    </xdr:from>
    <xdr:to>
      <xdr:col>1</xdr:col>
      <xdr:colOff>811854</xdr:colOff>
      <xdr:row>4</xdr:row>
      <xdr:rowOff>20637</xdr:rowOff>
    </xdr:to>
    <xdr:pic>
      <xdr:nvPicPr>
        <xdr:cNvPr id="2" name="Image 1">
          <a:extLst>
            <a:ext uri="{FF2B5EF4-FFF2-40B4-BE49-F238E27FC236}">
              <a16:creationId xmlns:a16="http://schemas.microsoft.com/office/drawing/2014/main" id="{078908A6-7AD7-4EAA-BBC7-DF92F538E3B1}"/>
            </a:ext>
          </a:extLst>
        </xdr:cNvPr>
        <xdr:cNvPicPr>
          <a:picLocks noChangeAspect="1"/>
        </xdr:cNvPicPr>
      </xdr:nvPicPr>
      <xdr:blipFill>
        <a:blip xmlns:r="http://schemas.openxmlformats.org/officeDocument/2006/relationships" r:embed="rId1"/>
        <a:stretch>
          <a:fillRect/>
        </a:stretch>
      </xdr:blipFill>
      <xdr:spPr>
        <a:xfrm>
          <a:off x="0" y="32543"/>
          <a:ext cx="2312042" cy="65484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31750</xdr:colOff>
      <xdr:row>1</xdr:row>
      <xdr:rowOff>39688</xdr:rowOff>
    </xdr:from>
    <xdr:to>
      <xdr:col>2</xdr:col>
      <xdr:colOff>861067</xdr:colOff>
      <xdr:row>5</xdr:row>
      <xdr:rowOff>47739</xdr:rowOff>
    </xdr:to>
    <xdr:pic>
      <xdr:nvPicPr>
        <xdr:cNvPr id="2" name="Image 1">
          <a:extLst>
            <a:ext uri="{FF2B5EF4-FFF2-40B4-BE49-F238E27FC236}">
              <a16:creationId xmlns:a16="http://schemas.microsoft.com/office/drawing/2014/main" id="{3EC83913-3673-4C2B-BBBB-3D9D71B55811}"/>
            </a:ext>
          </a:extLst>
        </xdr:cNvPr>
        <xdr:cNvPicPr>
          <a:picLocks noChangeAspect="1"/>
        </xdr:cNvPicPr>
      </xdr:nvPicPr>
      <xdr:blipFill>
        <a:blip xmlns:r="http://schemas.openxmlformats.org/officeDocument/2006/relationships" r:embed="rId1"/>
        <a:stretch>
          <a:fillRect/>
        </a:stretch>
      </xdr:blipFill>
      <xdr:spPr>
        <a:xfrm>
          <a:off x="682625" y="198438"/>
          <a:ext cx="2253531" cy="64305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57150</xdr:rowOff>
    </xdr:from>
    <xdr:to>
      <xdr:col>2</xdr:col>
      <xdr:colOff>190500</xdr:colOff>
      <xdr:row>0</xdr:row>
      <xdr:rowOff>562555</xdr:rowOff>
    </xdr:to>
    <xdr:pic>
      <xdr:nvPicPr>
        <xdr:cNvPr id="2" name="Image 1">
          <a:extLst>
            <a:ext uri="{FF2B5EF4-FFF2-40B4-BE49-F238E27FC236}">
              <a16:creationId xmlns:a16="http://schemas.microsoft.com/office/drawing/2014/main" id="{FFE9A7C3-D8D3-4D4F-9F75-F03509408E90}"/>
            </a:ext>
          </a:extLst>
        </xdr:cNvPr>
        <xdr:cNvPicPr>
          <a:picLocks noChangeAspect="1"/>
        </xdr:cNvPicPr>
      </xdr:nvPicPr>
      <xdr:blipFill>
        <a:blip xmlns:r="http://schemas.openxmlformats.org/officeDocument/2006/relationships" r:embed="rId1"/>
        <a:stretch>
          <a:fillRect/>
        </a:stretch>
      </xdr:blipFill>
      <xdr:spPr>
        <a:xfrm>
          <a:off x="0" y="57150"/>
          <a:ext cx="1790700" cy="50223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9525</xdr:colOff>
      <xdr:row>0</xdr:row>
      <xdr:rowOff>114300</xdr:rowOff>
    </xdr:from>
    <xdr:to>
      <xdr:col>2</xdr:col>
      <xdr:colOff>273050</xdr:colOff>
      <xdr:row>0</xdr:row>
      <xdr:rowOff>619705</xdr:rowOff>
    </xdr:to>
    <xdr:pic>
      <xdr:nvPicPr>
        <xdr:cNvPr id="2" name="Image 1">
          <a:extLst>
            <a:ext uri="{FF2B5EF4-FFF2-40B4-BE49-F238E27FC236}">
              <a16:creationId xmlns:a16="http://schemas.microsoft.com/office/drawing/2014/main" id="{698E6515-490F-4664-B7CA-FB4535029692}"/>
            </a:ext>
          </a:extLst>
        </xdr:cNvPr>
        <xdr:cNvPicPr>
          <a:picLocks noChangeAspect="1"/>
        </xdr:cNvPicPr>
      </xdr:nvPicPr>
      <xdr:blipFill>
        <a:blip xmlns:r="http://schemas.openxmlformats.org/officeDocument/2006/relationships" r:embed="rId1"/>
        <a:stretch>
          <a:fillRect/>
        </a:stretch>
      </xdr:blipFill>
      <xdr:spPr>
        <a:xfrm>
          <a:off x="9525" y="114300"/>
          <a:ext cx="1790700" cy="50223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1AA9258-B763-454D-BC15-6FDFAA4369D9}" name="Tableau3" displayName="Tableau3" ref="A5:C9" totalsRowShown="0" headerRowDxfId="42" dataDxfId="41">
  <autoFilter ref="A5:C9" xr:uid="{85412C23-BB26-4325-8ED8-5799AB59A2F3}"/>
  <tableColumns count="3">
    <tableColumn id="1" xr3:uid="{F5E3EDA8-A6F7-4E50-9CF8-4773B73B4237}" name="F = Fréquence d'exposition" dataDxfId="40"/>
    <tableColumn id="2" xr3:uid="{23771B4D-9349-46A9-A1B7-EC6640AD8725}" name="Détail" dataDxfId="39"/>
    <tableColumn id="3" xr3:uid="{2ED389E0-253C-41C8-B3D1-8A622257F356}" name="Cotation" dataDxfId="38"/>
  </tableColumns>
  <tableStyleInfo name="TableStyleLight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B59DD2F-A2E8-4A8C-BCAF-7EED98150F4E}" name="Tableau4" displayName="Tableau4" ref="A11:C15" totalsRowShown="0" headerRowDxfId="37" dataDxfId="36">
  <autoFilter ref="A11:C15" xr:uid="{1FA7FEFC-87D9-4382-8C24-6D516EA07F6D}"/>
  <tableColumns count="3">
    <tableColumn id="1" xr3:uid="{2B61BD4F-2722-48D8-AB17-930BBFF517DC}" name="G = Gravité" dataDxfId="35"/>
    <tableColumn id="2" xr3:uid="{70057762-608A-4E1E-A1A9-6C8C8C21E762}" name="Détail" dataDxfId="34"/>
    <tableColumn id="3" xr3:uid="{0BADCB88-7F5A-422E-95F8-052A0451D282}" name="Cotation" dataDxfId="33"/>
  </tableColumns>
  <tableStyleInfo name="TableStyleLight1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3330052-A860-48C3-8F18-9B8CB6604219}" name="Tableau5" displayName="Tableau5" ref="A17:C20" totalsRowShown="0" headerRowDxfId="32" dataDxfId="31">
  <autoFilter ref="A17:C20" xr:uid="{8415CF9F-2D15-44CC-ABFE-EBE3D9B830B3}"/>
  <tableColumns count="3">
    <tableColumn id="1" xr3:uid="{6F52B9F8-7914-4012-8C51-AC71978ECA6C}" name="Risque min" dataDxfId="30"/>
    <tableColumn id="2" xr3:uid="{312D3304-575F-44D1-9D3E-7BD22BFDE432}" name="Risque max" dataDxfId="29"/>
    <tableColumn id="3" xr3:uid="{59ACE9D1-537B-440C-A75C-0B1BE6D93473}" name="Priorité" dataDxfId="28"/>
  </tableColumns>
  <tableStyleInfo name="TableStyleLight1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0BF24D9-98FB-40E1-A4F6-9955A05D2D9A}" name="Tableau8" displayName="Tableau8" ref="A23:C27" totalsRowShown="0">
  <autoFilter ref="A23:C27" xr:uid="{B52DF732-803D-4D11-AE7F-4D0FC83D51D4}"/>
  <tableColumns count="3">
    <tableColumn id="1" xr3:uid="{107946FE-DE61-4CAD-985E-37C29F3370A2}" name="M = Niveau de maîtrise"/>
    <tableColumn id="2" xr3:uid="{71E980E0-64B8-4508-A550-019350F2E080}" name="Détail" dataDxfId="27"/>
    <tableColumn id="3" xr3:uid="{85A5FFEF-890C-4C41-B485-5B6CAB827B51}" name="Cotation"/>
  </tableColumns>
  <tableStyleInfo name="TableStyleLight14"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lnDef>
      <a:spPr/>
      <a:bodyPr/>
      <a:lstStyle/>
      <a:style>
        <a:lnRef idx="2">
          <a:schemeClr val="dk1"/>
        </a:lnRef>
        <a:fillRef idx="0">
          <a:schemeClr val="dk1"/>
        </a:fillRef>
        <a:effectRef idx="1">
          <a:schemeClr val="dk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table" Target="../tables/table4.xml"/><Relationship Id="rId5" Type="http://schemas.openxmlformats.org/officeDocument/2006/relationships/table" Target="../tables/table3.xml"/><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N26"/>
  <sheetViews>
    <sheetView zoomScale="70" zoomScaleNormal="70" zoomScalePageLayoutView="70" workbookViewId="0">
      <selection activeCell="G32" sqref="G32"/>
    </sheetView>
  </sheetViews>
  <sheetFormatPr baseColWidth="10" defaultColWidth="10.85546875" defaultRowHeight="12.75" x14ac:dyDescent="0.2"/>
  <cols>
    <col min="1" max="1" width="28.42578125" customWidth="1"/>
    <col min="2" max="3" width="16.42578125" customWidth="1"/>
    <col min="4" max="4" width="35.140625" customWidth="1"/>
    <col min="5" max="5" width="18.42578125" customWidth="1"/>
    <col min="7" max="7" width="15.42578125" customWidth="1"/>
    <col min="8" max="8" width="14.140625" customWidth="1"/>
    <col min="9" max="9" width="10.7109375" customWidth="1"/>
  </cols>
  <sheetData>
    <row r="2" spans="1:14" ht="18" customHeight="1" x14ac:dyDescent="0.2">
      <c r="A2" s="150" t="s">
        <v>25</v>
      </c>
      <c r="B2" s="150"/>
      <c r="C2" s="150"/>
      <c r="D2" s="151" t="s">
        <v>36</v>
      </c>
      <c r="E2" s="152"/>
      <c r="F2" s="152"/>
      <c r="G2" s="152"/>
      <c r="H2" s="152"/>
      <c r="I2" s="152"/>
      <c r="J2" s="152"/>
      <c r="K2" s="153"/>
      <c r="L2" s="151" t="s">
        <v>38</v>
      </c>
      <c r="M2" s="152"/>
      <c r="N2" s="153"/>
    </row>
    <row r="3" spans="1:14" ht="51" customHeight="1" x14ac:dyDescent="0.2">
      <c r="A3" s="7" t="s">
        <v>26</v>
      </c>
      <c r="B3" s="7" t="s">
        <v>27</v>
      </c>
      <c r="C3" s="7" t="s">
        <v>28</v>
      </c>
      <c r="D3" s="6" t="s">
        <v>30</v>
      </c>
      <c r="E3" s="6" t="s">
        <v>29</v>
      </c>
      <c r="F3" s="6" t="s">
        <v>31</v>
      </c>
      <c r="G3" s="6" t="s">
        <v>32</v>
      </c>
      <c r="H3" s="6" t="s">
        <v>33</v>
      </c>
      <c r="I3" s="6" t="s">
        <v>34</v>
      </c>
      <c r="J3" s="6" t="s">
        <v>35</v>
      </c>
      <c r="K3" s="7" t="s">
        <v>37</v>
      </c>
      <c r="L3" s="7" t="s">
        <v>39</v>
      </c>
      <c r="M3" s="7" t="s">
        <v>40</v>
      </c>
      <c r="N3" s="7" t="s">
        <v>41</v>
      </c>
    </row>
    <row r="4" spans="1:14" ht="18.75" customHeight="1" x14ac:dyDescent="0.2">
      <c r="A4" s="8"/>
      <c r="B4" s="8"/>
      <c r="C4" s="8"/>
      <c r="D4" s="8"/>
      <c r="E4" s="8"/>
      <c r="F4" s="8"/>
      <c r="G4" s="8"/>
      <c r="H4" s="8"/>
      <c r="I4" s="8"/>
      <c r="J4" s="8"/>
      <c r="K4" s="8"/>
      <c r="L4" s="8"/>
      <c r="M4" s="8"/>
      <c r="N4" s="8"/>
    </row>
    <row r="5" spans="1:14" ht="18.75" customHeight="1" x14ac:dyDescent="0.2">
      <c r="A5" s="8"/>
      <c r="B5" s="8"/>
      <c r="C5" s="8"/>
      <c r="D5" s="8"/>
      <c r="E5" s="8"/>
      <c r="F5" s="8"/>
      <c r="G5" s="8"/>
      <c r="H5" s="8"/>
      <c r="I5" s="8"/>
      <c r="J5" s="8"/>
      <c r="K5" s="8"/>
      <c r="L5" s="8"/>
      <c r="M5" s="8"/>
      <c r="N5" s="8"/>
    </row>
    <row r="6" spans="1:14" ht="18.75" customHeight="1" x14ac:dyDescent="0.2">
      <c r="A6" s="8"/>
      <c r="B6" s="8"/>
      <c r="C6" s="8"/>
      <c r="D6" s="8"/>
      <c r="E6" s="8"/>
      <c r="F6" s="8"/>
      <c r="G6" s="8"/>
      <c r="H6" s="8"/>
      <c r="I6" s="8"/>
      <c r="J6" s="8"/>
      <c r="K6" s="8"/>
      <c r="L6" s="8"/>
      <c r="M6" s="8"/>
      <c r="N6" s="8"/>
    </row>
    <row r="7" spans="1:14" ht="18.75" customHeight="1" x14ac:dyDescent="0.2">
      <c r="A7" s="8"/>
      <c r="B7" s="8"/>
      <c r="C7" s="8"/>
      <c r="D7" s="8"/>
      <c r="E7" s="8"/>
      <c r="F7" s="8"/>
      <c r="G7" s="8"/>
      <c r="H7" s="8"/>
      <c r="I7" s="8"/>
      <c r="J7" s="8"/>
      <c r="K7" s="8"/>
      <c r="L7" s="8"/>
      <c r="M7" s="8"/>
      <c r="N7" s="8"/>
    </row>
    <row r="8" spans="1:14" ht="18.75" customHeight="1" x14ac:dyDescent="0.2">
      <c r="A8" s="8"/>
      <c r="B8" s="8"/>
      <c r="C8" s="8"/>
      <c r="D8" s="8"/>
      <c r="E8" s="8"/>
      <c r="F8" s="8"/>
      <c r="G8" s="8"/>
      <c r="H8" s="8"/>
      <c r="I8" s="8"/>
      <c r="J8" s="8"/>
      <c r="K8" s="8"/>
      <c r="L8" s="8"/>
      <c r="M8" s="8"/>
      <c r="N8" s="8"/>
    </row>
    <row r="9" spans="1:14" ht="18.75" customHeight="1" x14ac:dyDescent="0.2">
      <c r="A9" s="8"/>
      <c r="B9" s="8"/>
      <c r="C9" s="8"/>
      <c r="D9" s="8"/>
      <c r="E9" s="8"/>
      <c r="F9" s="8"/>
      <c r="G9" s="8"/>
      <c r="H9" s="8"/>
      <c r="I9" s="8"/>
      <c r="J9" s="8"/>
      <c r="K9" s="8"/>
      <c r="L9" s="8"/>
      <c r="M9" s="8"/>
      <c r="N9" s="8"/>
    </row>
    <row r="10" spans="1:14" ht="18.75" customHeight="1" x14ac:dyDescent="0.2">
      <c r="A10" s="8"/>
      <c r="B10" s="8"/>
      <c r="C10" s="8"/>
      <c r="D10" s="8"/>
      <c r="E10" s="8"/>
      <c r="F10" s="8"/>
      <c r="G10" s="8"/>
      <c r="H10" s="8"/>
      <c r="I10" s="8"/>
      <c r="J10" s="8"/>
      <c r="K10" s="8"/>
      <c r="L10" s="8"/>
      <c r="M10" s="8"/>
      <c r="N10" s="8"/>
    </row>
    <row r="11" spans="1:14" ht="18.75" customHeight="1" x14ac:dyDescent="0.2">
      <c r="A11" s="8"/>
      <c r="B11" s="8"/>
      <c r="C11" s="8"/>
      <c r="D11" s="8"/>
      <c r="E11" s="8"/>
      <c r="F11" s="8"/>
      <c r="G11" s="8"/>
      <c r="H11" s="8"/>
      <c r="I11" s="8"/>
      <c r="J11" s="8"/>
      <c r="K11" s="8"/>
      <c r="L11" s="8"/>
      <c r="M11" s="8"/>
      <c r="N11" s="8"/>
    </row>
    <row r="12" spans="1:14" ht="18.75" customHeight="1" x14ac:dyDescent="0.2">
      <c r="A12" s="8"/>
      <c r="B12" s="8"/>
      <c r="C12" s="8"/>
      <c r="D12" s="8"/>
      <c r="E12" s="8"/>
      <c r="F12" s="8"/>
      <c r="G12" s="8"/>
      <c r="H12" s="8"/>
      <c r="I12" s="8"/>
      <c r="J12" s="8"/>
      <c r="K12" s="8"/>
      <c r="L12" s="8"/>
      <c r="M12" s="8"/>
      <c r="N12" s="8"/>
    </row>
    <row r="13" spans="1:14" ht="18.75" customHeight="1" x14ac:dyDescent="0.2">
      <c r="A13" s="8"/>
      <c r="B13" s="8"/>
      <c r="C13" s="8"/>
      <c r="D13" s="8"/>
      <c r="E13" s="8"/>
      <c r="F13" s="8"/>
      <c r="G13" s="8"/>
      <c r="H13" s="8"/>
      <c r="I13" s="8"/>
      <c r="J13" s="8"/>
      <c r="K13" s="8"/>
      <c r="L13" s="8"/>
      <c r="M13" s="8"/>
      <c r="N13" s="8"/>
    </row>
    <row r="14" spans="1:14" ht="18.75" customHeight="1" x14ac:dyDescent="0.2">
      <c r="A14" s="8"/>
      <c r="B14" s="8"/>
      <c r="C14" s="8"/>
      <c r="D14" s="8"/>
      <c r="E14" s="8"/>
      <c r="F14" s="8"/>
      <c r="G14" s="8"/>
      <c r="H14" s="8"/>
      <c r="I14" s="8"/>
      <c r="J14" s="8"/>
      <c r="K14" s="8"/>
      <c r="L14" s="8"/>
      <c r="M14" s="8"/>
      <c r="N14" s="8"/>
    </row>
    <row r="15" spans="1:14" ht="18.75" customHeight="1" x14ac:dyDescent="0.2">
      <c r="A15" s="8"/>
      <c r="B15" s="8"/>
      <c r="C15" s="8"/>
      <c r="D15" s="8"/>
      <c r="E15" s="8"/>
      <c r="F15" s="8"/>
      <c r="G15" s="8"/>
      <c r="H15" s="8"/>
      <c r="I15" s="8"/>
      <c r="J15" s="8"/>
      <c r="K15" s="8"/>
      <c r="L15" s="8"/>
      <c r="M15" s="8"/>
      <c r="N15" s="8"/>
    </row>
    <row r="16" spans="1:14" ht="18.75" customHeight="1" x14ac:dyDescent="0.2">
      <c r="A16" s="8"/>
      <c r="B16" s="8"/>
      <c r="C16" s="8"/>
      <c r="D16" s="8"/>
      <c r="E16" s="8"/>
      <c r="F16" s="8"/>
      <c r="G16" s="8"/>
      <c r="H16" s="8"/>
      <c r="I16" s="8"/>
      <c r="J16" s="8"/>
      <c r="K16" s="8"/>
      <c r="L16" s="8"/>
      <c r="M16" s="8"/>
      <c r="N16" s="8"/>
    </row>
    <row r="17" spans="1:14" ht="18.75" customHeight="1" x14ac:dyDescent="0.2">
      <c r="A17" s="8"/>
      <c r="B17" s="8"/>
      <c r="C17" s="8"/>
      <c r="D17" s="8"/>
      <c r="E17" s="8"/>
      <c r="F17" s="8"/>
      <c r="G17" s="8"/>
      <c r="H17" s="8"/>
      <c r="I17" s="8"/>
      <c r="J17" s="8"/>
      <c r="K17" s="8"/>
      <c r="L17" s="8"/>
      <c r="M17" s="8"/>
      <c r="N17" s="8"/>
    </row>
    <row r="18" spans="1:14" ht="18.75" customHeight="1" x14ac:dyDescent="0.2">
      <c r="A18" s="8"/>
      <c r="B18" s="8"/>
      <c r="C18" s="8"/>
      <c r="D18" s="8"/>
      <c r="E18" s="8"/>
      <c r="F18" s="8"/>
      <c r="G18" s="8"/>
      <c r="H18" s="8"/>
      <c r="I18" s="8"/>
      <c r="J18" s="8"/>
      <c r="K18" s="8"/>
      <c r="L18" s="8"/>
      <c r="M18" s="8"/>
      <c r="N18" s="8"/>
    </row>
    <row r="19" spans="1:14" ht="18.75" customHeight="1" x14ac:dyDescent="0.2">
      <c r="A19" s="8"/>
      <c r="B19" s="8"/>
      <c r="C19" s="8"/>
      <c r="D19" s="8"/>
      <c r="E19" s="8"/>
      <c r="F19" s="8"/>
      <c r="G19" s="8"/>
      <c r="H19" s="8"/>
      <c r="I19" s="8"/>
      <c r="J19" s="8"/>
      <c r="K19" s="8"/>
      <c r="L19" s="8"/>
      <c r="M19" s="8"/>
      <c r="N19" s="8"/>
    </row>
    <row r="20" spans="1:14" ht="18.75" customHeight="1" x14ac:dyDescent="0.2">
      <c r="A20" s="8"/>
      <c r="B20" s="8"/>
      <c r="C20" s="8"/>
      <c r="D20" s="8"/>
      <c r="E20" s="8"/>
      <c r="F20" s="8"/>
      <c r="G20" s="8"/>
      <c r="H20" s="8"/>
      <c r="I20" s="8"/>
      <c r="J20" s="8"/>
      <c r="K20" s="8"/>
      <c r="L20" s="8"/>
      <c r="M20" s="8"/>
      <c r="N20" s="8"/>
    </row>
    <row r="21" spans="1:14" ht="18.75" customHeight="1" x14ac:dyDescent="0.2">
      <c r="A21" s="8"/>
      <c r="B21" s="8"/>
      <c r="C21" s="8"/>
      <c r="D21" s="8"/>
      <c r="E21" s="8"/>
      <c r="F21" s="8"/>
      <c r="G21" s="8"/>
      <c r="H21" s="8"/>
      <c r="I21" s="8"/>
      <c r="J21" s="8"/>
      <c r="K21" s="8"/>
      <c r="L21" s="8"/>
      <c r="M21" s="8"/>
      <c r="N21" s="8"/>
    </row>
    <row r="22" spans="1:14" ht="18.75" customHeight="1" x14ac:dyDescent="0.2">
      <c r="A22" s="8"/>
      <c r="B22" s="8"/>
      <c r="C22" s="8"/>
      <c r="D22" s="8"/>
      <c r="E22" s="8"/>
      <c r="F22" s="8"/>
      <c r="G22" s="8"/>
      <c r="H22" s="8"/>
      <c r="I22" s="8"/>
      <c r="J22" s="8"/>
      <c r="K22" s="8"/>
      <c r="L22" s="8"/>
      <c r="M22" s="8"/>
      <c r="N22" s="8"/>
    </row>
    <row r="23" spans="1:14" ht="18.75" customHeight="1" x14ac:dyDescent="0.2">
      <c r="A23" s="8"/>
      <c r="B23" s="8"/>
      <c r="C23" s="8"/>
      <c r="D23" s="8"/>
      <c r="E23" s="8"/>
      <c r="F23" s="8"/>
      <c r="G23" s="8"/>
      <c r="H23" s="8"/>
      <c r="I23" s="8"/>
      <c r="J23" s="8"/>
      <c r="K23" s="8"/>
      <c r="L23" s="8"/>
      <c r="M23" s="8"/>
      <c r="N23" s="8"/>
    </row>
    <row r="24" spans="1:14" ht="18.75" customHeight="1" x14ac:dyDescent="0.2">
      <c r="A24" s="8"/>
      <c r="B24" s="8"/>
      <c r="C24" s="8"/>
      <c r="D24" s="8"/>
      <c r="E24" s="8"/>
      <c r="F24" s="8"/>
      <c r="G24" s="8"/>
      <c r="H24" s="8"/>
      <c r="I24" s="8"/>
      <c r="J24" s="8"/>
      <c r="K24" s="8"/>
      <c r="L24" s="8"/>
      <c r="M24" s="8"/>
      <c r="N24" s="8"/>
    </row>
    <row r="25" spans="1:14" ht="18.75" customHeight="1" x14ac:dyDescent="0.2">
      <c r="A25" s="8"/>
      <c r="B25" s="8"/>
      <c r="C25" s="8"/>
      <c r="D25" s="8"/>
      <c r="E25" s="8"/>
      <c r="F25" s="8"/>
      <c r="G25" s="8"/>
      <c r="H25" s="8"/>
      <c r="I25" s="8"/>
      <c r="J25" s="8"/>
      <c r="K25" s="8"/>
      <c r="L25" s="8"/>
      <c r="M25" s="8"/>
      <c r="N25" s="8"/>
    </row>
    <row r="26" spans="1:14" ht="18.75" customHeight="1" x14ac:dyDescent="0.2">
      <c r="A26" s="8"/>
      <c r="B26" s="8"/>
      <c r="C26" s="8"/>
      <c r="D26" s="8"/>
      <c r="E26" s="8"/>
      <c r="F26" s="8"/>
      <c r="G26" s="8"/>
      <c r="H26" s="8"/>
      <c r="I26" s="8"/>
      <c r="J26" s="8"/>
      <c r="K26" s="8"/>
      <c r="L26" s="8"/>
      <c r="M26" s="8"/>
      <c r="N26" s="8"/>
    </row>
  </sheetData>
  <mergeCells count="3">
    <mergeCell ref="A2:C2"/>
    <mergeCell ref="D2:K2"/>
    <mergeCell ref="L2:N2"/>
  </mergeCells>
  <phoneticPr fontId="8" type="noConversion"/>
  <pageMargins left="0.78740157499999996" right="0.78740157499999996" top="0.984251969" bottom="0.984251969" header="0.4921259845" footer="0.4921259845"/>
  <pageSetup paperSize="9" scale="58" orientation="landscape"/>
  <headerFooter alignWithMargins="0"/>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719A3-A7A7-436A-87B7-7E694107D541}">
  <sheetPr>
    <pageSetUpPr fitToPage="1"/>
  </sheetPr>
  <dimension ref="A1:Z47"/>
  <sheetViews>
    <sheetView showGridLines="0" zoomScale="98" zoomScaleNormal="98" workbookViewId="0">
      <selection activeCell="K14" sqref="K14"/>
    </sheetView>
  </sheetViews>
  <sheetFormatPr baseColWidth="10" defaultColWidth="10.85546875" defaultRowHeight="12.75" x14ac:dyDescent="0.2"/>
  <cols>
    <col min="1" max="1" width="26.85546875" customWidth="1"/>
    <col min="2" max="2" width="46.140625" customWidth="1"/>
    <col min="3" max="3" width="28" customWidth="1"/>
    <col min="4" max="4" width="5.28515625" customWidth="1"/>
    <col min="5" max="9" width="3" customWidth="1"/>
    <col min="10" max="10" width="7" customWidth="1"/>
    <col min="11" max="17" width="3" customWidth="1"/>
    <col min="18" max="18" width="29.28515625" customWidth="1"/>
    <col min="19" max="22" width="3" customWidth="1"/>
    <col min="23" max="24" width="10.140625" bestFit="1" customWidth="1"/>
    <col min="25" max="26" width="9.85546875" bestFit="1" customWidth="1"/>
    <col min="27" max="29" width="3" customWidth="1"/>
    <col min="30" max="58" width="2.85546875" customWidth="1"/>
  </cols>
  <sheetData>
    <row r="1" spans="1:26" x14ac:dyDescent="0.2">
      <c r="B1" s="154" t="s">
        <v>473</v>
      </c>
      <c r="C1" s="154"/>
    </row>
    <row r="2" spans="1:26" x14ac:dyDescent="0.2">
      <c r="B2" s="154"/>
      <c r="C2" s="154"/>
    </row>
    <row r="3" spans="1:26" ht="39.6" customHeight="1" x14ac:dyDescent="0.2">
      <c r="B3" s="154"/>
      <c r="C3" s="154"/>
    </row>
    <row r="4" spans="1:26" ht="20.100000000000001" customHeight="1" x14ac:dyDescent="0.2"/>
    <row r="5" spans="1:26" x14ac:dyDescent="0.2">
      <c r="A5" s="46" t="s">
        <v>174</v>
      </c>
      <c r="B5" s="47" t="s">
        <v>175</v>
      </c>
      <c r="C5" s="48" t="s">
        <v>176</v>
      </c>
      <c r="F5" s="158" t="s">
        <v>489</v>
      </c>
      <c r="G5" s="159"/>
      <c r="H5" s="159"/>
      <c r="I5" s="159"/>
      <c r="J5" s="159"/>
      <c r="K5" s="159"/>
      <c r="L5" s="159"/>
      <c r="M5" s="159"/>
      <c r="N5" s="159"/>
      <c r="O5" s="159"/>
      <c r="P5" s="159"/>
      <c r="Q5" s="160"/>
      <c r="R5" s="163" t="s">
        <v>488</v>
      </c>
    </row>
    <row r="6" spans="1:26" ht="25.5" x14ac:dyDescent="0.2">
      <c r="A6" s="49" t="s">
        <v>191</v>
      </c>
      <c r="B6" s="47" t="s">
        <v>192</v>
      </c>
      <c r="C6" s="50">
        <v>1</v>
      </c>
      <c r="F6" s="161"/>
      <c r="G6" s="155"/>
      <c r="H6" s="155"/>
      <c r="I6" s="155"/>
      <c r="J6" s="155"/>
      <c r="K6" s="155"/>
      <c r="L6" s="155"/>
      <c r="M6" s="155"/>
      <c r="N6" s="155"/>
      <c r="O6" s="155"/>
      <c r="P6" s="155"/>
      <c r="Q6" s="162"/>
      <c r="R6" s="164"/>
    </row>
    <row r="7" spans="1:26" x14ac:dyDescent="0.2">
      <c r="A7" s="49" t="s">
        <v>177</v>
      </c>
      <c r="B7" s="47" t="s">
        <v>193</v>
      </c>
      <c r="C7" s="51">
        <v>2</v>
      </c>
      <c r="F7" s="21"/>
      <c r="G7" s="131" t="s">
        <v>200</v>
      </c>
      <c r="H7" s="132"/>
      <c r="I7" s="132"/>
      <c r="J7" s="132"/>
      <c r="K7" s="132"/>
      <c r="L7" s="132"/>
      <c r="M7" s="132"/>
      <c r="N7" s="132"/>
      <c r="O7" s="132"/>
      <c r="P7" s="132"/>
      <c r="Q7" s="133"/>
      <c r="R7" s="29" t="s">
        <v>482</v>
      </c>
    </row>
    <row r="8" spans="1:26" x14ac:dyDescent="0.2">
      <c r="A8" s="49" t="s">
        <v>178</v>
      </c>
      <c r="B8" s="47" t="s">
        <v>194</v>
      </c>
      <c r="C8" s="52">
        <v>3</v>
      </c>
      <c r="F8" s="135"/>
      <c r="G8" s="131" t="s">
        <v>201</v>
      </c>
      <c r="H8" s="132"/>
      <c r="I8" s="132"/>
      <c r="J8" s="132"/>
      <c r="K8" s="132"/>
      <c r="L8" s="132"/>
      <c r="M8" s="132"/>
      <c r="N8" s="132"/>
      <c r="O8" s="132"/>
      <c r="P8" s="132"/>
      <c r="Q8" s="133"/>
      <c r="R8" s="130" t="s">
        <v>491</v>
      </c>
    </row>
    <row r="9" spans="1:26" ht="19.5" customHeight="1" x14ac:dyDescent="0.2">
      <c r="A9" s="49" t="s">
        <v>179</v>
      </c>
      <c r="B9" s="47" t="s">
        <v>361</v>
      </c>
      <c r="C9" s="53">
        <v>4</v>
      </c>
      <c r="F9" s="22"/>
      <c r="G9" s="131" t="s">
        <v>202</v>
      </c>
      <c r="H9" s="132"/>
      <c r="I9" s="132"/>
      <c r="J9" s="132"/>
      <c r="K9" s="132"/>
      <c r="L9" s="132"/>
      <c r="M9" s="132"/>
      <c r="N9" s="132"/>
      <c r="O9" s="132"/>
      <c r="P9" s="132"/>
      <c r="Q9" s="133"/>
      <c r="R9" s="130" t="s">
        <v>483</v>
      </c>
    </row>
    <row r="10" spans="1:26" x14ac:dyDescent="0.2">
      <c r="A10" s="47"/>
      <c r="B10" s="47"/>
      <c r="C10" s="47"/>
      <c r="W10" s="155" t="s">
        <v>480</v>
      </c>
      <c r="X10" s="155"/>
      <c r="Y10" s="155"/>
      <c r="Z10" s="155"/>
    </row>
    <row r="11" spans="1:26" x14ac:dyDescent="0.2">
      <c r="A11" s="46" t="s">
        <v>180</v>
      </c>
      <c r="B11" s="47" t="s">
        <v>175</v>
      </c>
      <c r="C11" s="48" t="s">
        <v>176</v>
      </c>
      <c r="U11" s="156" t="s">
        <v>477</v>
      </c>
      <c r="V11" s="19">
        <v>4</v>
      </c>
      <c r="W11" s="127" t="s">
        <v>53</v>
      </c>
      <c r="X11" s="128" t="s">
        <v>479</v>
      </c>
      <c r="Y11" s="128" t="s">
        <v>479</v>
      </c>
      <c r="Z11" s="128" t="s">
        <v>479</v>
      </c>
    </row>
    <row r="12" spans="1:26" ht="38.25" x14ac:dyDescent="0.2">
      <c r="A12" s="54" t="s">
        <v>195</v>
      </c>
      <c r="B12" s="47" t="s">
        <v>312</v>
      </c>
      <c r="C12" s="50">
        <v>1</v>
      </c>
      <c r="U12" s="156"/>
      <c r="V12" s="19">
        <v>3</v>
      </c>
      <c r="W12" s="127" t="s">
        <v>53</v>
      </c>
      <c r="X12" s="127" t="s">
        <v>53</v>
      </c>
      <c r="Y12" s="128" t="s">
        <v>479</v>
      </c>
      <c r="Z12" s="128" t="s">
        <v>479</v>
      </c>
    </row>
    <row r="13" spans="1:26" ht="38.25" x14ac:dyDescent="0.2">
      <c r="A13" s="55" t="s">
        <v>196</v>
      </c>
      <c r="B13" s="47" t="s">
        <v>274</v>
      </c>
      <c r="C13" s="51">
        <v>2</v>
      </c>
      <c r="U13" s="156"/>
      <c r="V13" s="19">
        <v>2</v>
      </c>
      <c r="W13" s="129" t="s">
        <v>199</v>
      </c>
      <c r="X13" s="127" t="s">
        <v>53</v>
      </c>
      <c r="Y13" s="127" t="s">
        <v>53</v>
      </c>
      <c r="Z13" s="128" t="s">
        <v>479</v>
      </c>
    </row>
    <row r="14" spans="1:26" ht="38.25" x14ac:dyDescent="0.2">
      <c r="A14" s="46" t="s">
        <v>181</v>
      </c>
      <c r="B14" s="47" t="s">
        <v>466</v>
      </c>
      <c r="C14" s="52">
        <v>3</v>
      </c>
      <c r="U14" s="156"/>
      <c r="V14" s="19">
        <v>1</v>
      </c>
      <c r="W14" s="129" t="s">
        <v>199</v>
      </c>
      <c r="X14" s="129" t="s">
        <v>199</v>
      </c>
      <c r="Y14" s="127" t="s">
        <v>53</v>
      </c>
      <c r="Z14" s="127" t="s">
        <v>53</v>
      </c>
    </row>
    <row r="15" spans="1:26" ht="51" x14ac:dyDescent="0.2">
      <c r="A15" s="46" t="s">
        <v>182</v>
      </c>
      <c r="B15" s="47" t="s">
        <v>273</v>
      </c>
      <c r="C15" s="53">
        <v>4</v>
      </c>
      <c r="W15" s="3">
        <v>1</v>
      </c>
      <c r="X15" s="3">
        <v>2</v>
      </c>
      <c r="Y15" s="3">
        <v>3</v>
      </c>
      <c r="Z15" s="3">
        <v>4</v>
      </c>
    </row>
    <row r="16" spans="1:26" x14ac:dyDescent="0.2">
      <c r="A16" s="47"/>
      <c r="B16" s="47"/>
      <c r="C16" s="47"/>
      <c r="F16" s="158" t="s">
        <v>487</v>
      </c>
      <c r="G16" s="159"/>
      <c r="H16" s="159"/>
      <c r="I16" s="159"/>
      <c r="J16" s="159"/>
      <c r="K16" s="159"/>
      <c r="L16" s="159"/>
      <c r="M16" s="159"/>
      <c r="N16" s="159"/>
      <c r="O16" s="159"/>
      <c r="P16" s="159"/>
      <c r="Q16" s="160"/>
      <c r="R16" s="163" t="s">
        <v>488</v>
      </c>
      <c r="W16" s="157" t="s">
        <v>478</v>
      </c>
      <c r="X16" s="157"/>
      <c r="Y16" s="157"/>
      <c r="Z16" s="157"/>
    </row>
    <row r="17" spans="1:18" x14ac:dyDescent="0.2">
      <c r="A17" s="56" t="s">
        <v>183</v>
      </c>
      <c r="B17" s="46" t="s">
        <v>184</v>
      </c>
      <c r="C17" s="56" t="s">
        <v>185</v>
      </c>
      <c r="F17" s="161"/>
      <c r="G17" s="155"/>
      <c r="H17" s="155"/>
      <c r="I17" s="155"/>
      <c r="J17" s="155"/>
      <c r="K17" s="155"/>
      <c r="L17" s="155"/>
      <c r="M17" s="155"/>
      <c r="N17" s="155"/>
      <c r="O17" s="155"/>
      <c r="P17" s="155"/>
      <c r="Q17" s="162"/>
      <c r="R17" s="164"/>
    </row>
    <row r="18" spans="1:18" ht="22.5" customHeight="1" x14ac:dyDescent="0.2">
      <c r="A18" s="57">
        <v>8</v>
      </c>
      <c r="B18" s="47">
        <v>16</v>
      </c>
      <c r="C18" s="58" t="s">
        <v>197</v>
      </c>
      <c r="F18" s="21"/>
      <c r="G18" s="131" t="s">
        <v>200</v>
      </c>
      <c r="H18" s="132"/>
      <c r="I18" s="132"/>
      <c r="J18" s="132"/>
      <c r="K18" s="132"/>
      <c r="L18" s="132"/>
      <c r="M18" s="132"/>
      <c r="N18" s="132"/>
      <c r="O18" s="132"/>
      <c r="P18" s="132"/>
      <c r="Q18" s="133"/>
      <c r="R18" s="29" t="s">
        <v>482</v>
      </c>
    </row>
    <row r="19" spans="1:18" ht="30" customHeight="1" x14ac:dyDescent="0.2">
      <c r="A19" s="57">
        <v>3</v>
      </c>
      <c r="B19" s="47">
        <v>7.9</v>
      </c>
      <c r="C19" s="59" t="s">
        <v>53</v>
      </c>
      <c r="F19" s="135"/>
      <c r="G19" s="131" t="s">
        <v>201</v>
      </c>
      <c r="H19" s="132"/>
      <c r="I19" s="132"/>
      <c r="J19" s="132"/>
      <c r="K19" s="132"/>
      <c r="L19" s="132"/>
      <c r="M19" s="132"/>
      <c r="N19" s="132"/>
      <c r="O19" s="132"/>
      <c r="P19" s="132"/>
      <c r="Q19" s="133"/>
      <c r="R19" s="138" t="s">
        <v>492</v>
      </c>
    </row>
    <row r="20" spans="1:18" ht="39" customHeight="1" x14ac:dyDescent="0.2">
      <c r="A20" s="57">
        <v>0.1</v>
      </c>
      <c r="B20" s="47">
        <v>2.9</v>
      </c>
      <c r="C20" s="60" t="s">
        <v>198</v>
      </c>
      <c r="F20" s="22"/>
      <c r="G20" s="131" t="s">
        <v>202</v>
      </c>
      <c r="H20" s="132"/>
      <c r="I20" s="132"/>
      <c r="J20" s="132"/>
      <c r="K20" s="132"/>
      <c r="L20" s="132"/>
      <c r="M20" s="132"/>
      <c r="N20" s="132"/>
      <c r="O20" s="132"/>
      <c r="P20" s="132"/>
      <c r="Q20" s="133"/>
      <c r="R20" s="138" t="s">
        <v>493</v>
      </c>
    </row>
    <row r="21" spans="1:18" x14ac:dyDescent="0.2">
      <c r="A21" s="47"/>
      <c r="B21" s="47"/>
      <c r="C21" s="47"/>
    </row>
    <row r="22" spans="1:18" x14ac:dyDescent="0.2">
      <c r="A22" s="47"/>
      <c r="B22" s="47"/>
      <c r="C22" s="47"/>
    </row>
    <row r="23" spans="1:18" ht="15" x14ac:dyDescent="0.25">
      <c r="A23" s="61" t="s">
        <v>186</v>
      </c>
      <c r="B23" s="47" t="s">
        <v>175</v>
      </c>
      <c r="C23" s="47" t="s">
        <v>176</v>
      </c>
    </row>
    <row r="24" spans="1:18" ht="42" customHeight="1" x14ac:dyDescent="0.2">
      <c r="A24" s="110" t="s">
        <v>187</v>
      </c>
      <c r="B24" s="110" t="s">
        <v>313</v>
      </c>
      <c r="C24" s="60">
        <v>0.05</v>
      </c>
    </row>
    <row r="25" spans="1:18" ht="25.5" x14ac:dyDescent="0.2">
      <c r="A25" s="54" t="s">
        <v>188</v>
      </c>
      <c r="B25" s="110" t="s">
        <v>316</v>
      </c>
      <c r="C25" s="62">
        <v>0.3</v>
      </c>
    </row>
    <row r="26" spans="1:18" ht="25.5" x14ac:dyDescent="0.2">
      <c r="A26" s="54" t="s">
        <v>189</v>
      </c>
      <c r="B26" s="47" t="s">
        <v>314</v>
      </c>
      <c r="C26" s="59">
        <v>0.7</v>
      </c>
    </row>
    <row r="27" spans="1:18" ht="25.5" x14ac:dyDescent="0.2">
      <c r="A27" s="111" t="s">
        <v>190</v>
      </c>
      <c r="B27" s="47" t="s">
        <v>315</v>
      </c>
      <c r="C27" s="58">
        <v>1</v>
      </c>
    </row>
    <row r="29" spans="1:18" x14ac:dyDescent="0.2">
      <c r="B29" s="24"/>
    </row>
    <row r="43" spans="1:1" x14ac:dyDescent="0.2">
      <c r="A43" s="4"/>
    </row>
    <row r="44" spans="1:1" x14ac:dyDescent="0.2">
      <c r="A44" s="4"/>
    </row>
    <row r="45" spans="1:1" x14ac:dyDescent="0.2">
      <c r="A45" s="4"/>
    </row>
    <row r="46" spans="1:1" x14ac:dyDescent="0.2">
      <c r="A46" s="4"/>
    </row>
    <row r="47" spans="1:1" x14ac:dyDescent="0.2">
      <c r="A47" s="4"/>
    </row>
  </sheetData>
  <mergeCells count="8">
    <mergeCell ref="B1:C3"/>
    <mergeCell ref="W10:Z10"/>
    <mergeCell ref="U11:U14"/>
    <mergeCell ref="W16:Z16"/>
    <mergeCell ref="F16:Q17"/>
    <mergeCell ref="R16:R17"/>
    <mergeCell ref="F5:Q6"/>
    <mergeCell ref="R5:R6"/>
  </mergeCells>
  <pageMargins left="0.78740157499999996" right="0.78740157499999996" top="0.984251969" bottom="0.984251969" header="0.4921259845" footer="0.4921259845"/>
  <pageSetup paperSize="9" scale="78" orientation="landscape" r:id="rId1"/>
  <headerFooter alignWithMargins="0"/>
  <drawing r:id="rId2"/>
  <tableParts count="4">
    <tablePart r:id="rId3"/>
    <tablePart r:id="rId4"/>
    <tablePart r:id="rId5"/>
    <tablePart r:id="rId6"/>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A0016-A4AD-47EA-AAD0-F8399C1CFB8E}">
  <dimension ref="A1:G64"/>
  <sheetViews>
    <sheetView showGridLines="0" zoomScale="80" zoomScaleNormal="80" workbookViewId="0">
      <selection sqref="A1:XFD1048576"/>
    </sheetView>
  </sheetViews>
  <sheetFormatPr baseColWidth="10" defaultColWidth="10.85546875" defaultRowHeight="15" x14ac:dyDescent="0.25"/>
  <cols>
    <col min="1" max="1" width="26.85546875" style="124" customWidth="1"/>
    <col min="2" max="2" width="10.85546875" style="124"/>
    <col min="3" max="3" width="37.85546875" style="124" customWidth="1"/>
    <col min="4" max="4" width="11.5703125" style="124" customWidth="1"/>
    <col min="5" max="5" width="25.42578125" style="124" customWidth="1"/>
    <col min="6" max="6" width="37.85546875" style="124" customWidth="1"/>
    <col min="7" max="7" width="16.5703125" style="124" customWidth="1"/>
    <col min="8" max="8" width="10.85546875" style="124"/>
    <col min="9" max="10" width="10.85546875" style="124" customWidth="1"/>
    <col min="11" max="11" width="10.85546875" style="124"/>
    <col min="12" max="14" width="10.85546875" style="124" customWidth="1"/>
    <col min="15" max="15" width="10.85546875" style="124"/>
    <col min="16" max="16" width="10.85546875" style="124" customWidth="1"/>
    <col min="17" max="16384" width="10.85546875" style="124"/>
  </cols>
  <sheetData>
    <row r="1" spans="3:7" x14ac:dyDescent="0.25">
      <c r="C1" s="169" t="s">
        <v>469</v>
      </c>
      <c r="D1" s="169"/>
      <c r="E1" s="169"/>
      <c r="F1" s="169"/>
      <c r="G1" s="169"/>
    </row>
    <row r="2" spans="3:7" x14ac:dyDescent="0.25">
      <c r="C2" s="169"/>
      <c r="D2" s="169"/>
      <c r="E2" s="169"/>
      <c r="F2" s="169"/>
      <c r="G2" s="169"/>
    </row>
    <row r="3" spans="3:7" x14ac:dyDescent="0.25">
      <c r="C3" s="169"/>
      <c r="D3" s="169"/>
      <c r="E3" s="169"/>
      <c r="F3" s="169"/>
      <c r="G3" s="169"/>
    </row>
    <row r="4" spans="3:7" x14ac:dyDescent="0.25">
      <c r="C4" s="169"/>
      <c r="D4" s="169"/>
      <c r="E4" s="169"/>
      <c r="F4" s="169"/>
      <c r="G4" s="169"/>
    </row>
    <row r="5" spans="3:7" x14ac:dyDescent="0.25">
      <c r="C5" s="169"/>
      <c r="D5" s="169"/>
      <c r="E5" s="169"/>
      <c r="F5" s="169"/>
      <c r="G5" s="169"/>
    </row>
    <row r="50" spans="1:7" ht="15.95" customHeight="1" x14ac:dyDescent="0.25"/>
    <row r="51" spans="1:7" ht="13.5" customHeight="1" x14ac:dyDescent="0.25">
      <c r="A51" s="171" t="s">
        <v>441</v>
      </c>
      <c r="B51" s="171"/>
      <c r="C51" s="171"/>
      <c r="D51" s="171" t="s">
        <v>440</v>
      </c>
      <c r="E51" s="171"/>
      <c r="F51" s="171" t="s">
        <v>439</v>
      </c>
      <c r="G51" s="171"/>
    </row>
    <row r="52" spans="1:7" x14ac:dyDescent="0.25">
      <c r="A52" s="165" t="s">
        <v>438</v>
      </c>
      <c r="B52" s="165" t="s">
        <v>437</v>
      </c>
      <c r="C52" s="166" t="s">
        <v>436</v>
      </c>
      <c r="D52" s="125" t="s">
        <v>435</v>
      </c>
      <c r="E52" s="125" t="s">
        <v>434</v>
      </c>
      <c r="F52" s="168" t="s">
        <v>433</v>
      </c>
      <c r="G52" s="168"/>
    </row>
    <row r="53" spans="1:7" x14ac:dyDescent="0.25">
      <c r="A53" s="165"/>
      <c r="B53" s="165"/>
      <c r="C53" s="166"/>
      <c r="D53" s="125" t="s">
        <v>432</v>
      </c>
      <c r="E53" s="125" t="s">
        <v>431</v>
      </c>
      <c r="F53" s="168" t="s">
        <v>430</v>
      </c>
      <c r="G53" s="168"/>
    </row>
    <row r="54" spans="1:7" x14ac:dyDescent="0.25">
      <c r="A54" s="165"/>
      <c r="B54" s="165"/>
      <c r="C54" s="166"/>
      <c r="D54" s="125" t="s">
        <v>429</v>
      </c>
      <c r="E54" s="125" t="s">
        <v>428</v>
      </c>
      <c r="F54" s="168" t="s">
        <v>427</v>
      </c>
      <c r="G54" s="168"/>
    </row>
    <row r="55" spans="1:7" x14ac:dyDescent="0.25">
      <c r="A55" s="165" t="s">
        <v>426</v>
      </c>
      <c r="B55" s="126" t="s">
        <v>425</v>
      </c>
      <c r="C55" s="167" t="s">
        <v>424</v>
      </c>
      <c r="D55" s="167"/>
      <c r="E55" s="167"/>
      <c r="F55" s="168" t="s">
        <v>418</v>
      </c>
      <c r="G55" s="168"/>
    </row>
    <row r="56" spans="1:7" x14ac:dyDescent="0.25">
      <c r="A56" s="165"/>
      <c r="B56" s="126" t="s">
        <v>423</v>
      </c>
      <c r="C56" s="167" t="s">
        <v>422</v>
      </c>
      <c r="D56" s="167"/>
      <c r="E56" s="167"/>
      <c r="F56" s="168" t="s">
        <v>421</v>
      </c>
      <c r="G56" s="168"/>
    </row>
    <row r="57" spans="1:7" x14ac:dyDescent="0.25">
      <c r="A57" s="165"/>
      <c r="B57" s="126" t="s">
        <v>420</v>
      </c>
      <c r="C57" s="167" t="s">
        <v>419</v>
      </c>
      <c r="D57" s="167"/>
      <c r="E57" s="167"/>
      <c r="F57" s="168" t="s">
        <v>418</v>
      </c>
      <c r="G57" s="168"/>
    </row>
    <row r="58" spans="1:7" x14ac:dyDescent="0.25">
      <c r="A58" s="165"/>
      <c r="B58" s="165" t="s">
        <v>417</v>
      </c>
      <c r="C58" s="166" t="s">
        <v>416</v>
      </c>
      <c r="D58" s="125" t="s">
        <v>415</v>
      </c>
      <c r="E58" s="125" t="s">
        <v>414</v>
      </c>
      <c r="F58" s="170" t="s">
        <v>481</v>
      </c>
      <c r="G58" s="168"/>
    </row>
    <row r="59" spans="1:7" x14ac:dyDescent="0.25">
      <c r="A59" s="165"/>
      <c r="B59" s="165"/>
      <c r="C59" s="166"/>
      <c r="D59" s="125" t="s">
        <v>413</v>
      </c>
      <c r="E59" s="125" t="s">
        <v>412</v>
      </c>
      <c r="F59" s="168" t="s">
        <v>411</v>
      </c>
      <c r="G59" s="168"/>
    </row>
    <row r="60" spans="1:7" x14ac:dyDescent="0.25">
      <c r="A60" s="165"/>
      <c r="B60" s="126" t="s">
        <v>410</v>
      </c>
      <c r="C60" s="167" t="s">
        <v>409</v>
      </c>
      <c r="D60" s="167"/>
      <c r="E60" s="167"/>
      <c r="F60" s="168" t="s">
        <v>405</v>
      </c>
      <c r="G60" s="168"/>
    </row>
    <row r="61" spans="1:7" x14ac:dyDescent="0.25">
      <c r="A61" s="165" t="s">
        <v>408</v>
      </c>
      <c r="B61" s="126" t="s">
        <v>407</v>
      </c>
      <c r="C61" s="167" t="s">
        <v>406</v>
      </c>
      <c r="D61" s="167"/>
      <c r="E61" s="167"/>
      <c r="F61" s="168" t="s">
        <v>405</v>
      </c>
      <c r="G61" s="168"/>
    </row>
    <row r="62" spans="1:7" x14ac:dyDescent="0.25">
      <c r="A62" s="165"/>
      <c r="B62" s="126" t="s">
        <v>404</v>
      </c>
      <c r="C62" s="167" t="s">
        <v>403</v>
      </c>
      <c r="D62" s="167"/>
      <c r="E62" s="167"/>
      <c r="F62" s="168" t="s">
        <v>402</v>
      </c>
      <c r="G62" s="168"/>
    </row>
    <row r="63" spans="1:7" x14ac:dyDescent="0.25">
      <c r="A63" s="165"/>
      <c r="B63" s="126" t="s">
        <v>401</v>
      </c>
      <c r="C63" s="167" t="s">
        <v>400</v>
      </c>
      <c r="D63" s="167"/>
      <c r="E63" s="167"/>
      <c r="F63" s="168" t="s">
        <v>399</v>
      </c>
      <c r="G63" s="168"/>
    </row>
    <row r="64" spans="1:7" x14ac:dyDescent="0.25">
      <c r="A64" s="165"/>
      <c r="B64" s="126" t="s">
        <v>398</v>
      </c>
      <c r="C64" s="167" t="s">
        <v>397</v>
      </c>
      <c r="D64" s="167"/>
      <c r="E64" s="167"/>
      <c r="F64" s="168" t="s">
        <v>396</v>
      </c>
      <c r="G64" s="168"/>
    </row>
  </sheetData>
  <mergeCells count="32">
    <mergeCell ref="C1:G5"/>
    <mergeCell ref="F63:G63"/>
    <mergeCell ref="F64:G64"/>
    <mergeCell ref="F57:G57"/>
    <mergeCell ref="F58:G58"/>
    <mergeCell ref="F59:G59"/>
    <mergeCell ref="F60:G60"/>
    <mergeCell ref="F61:G61"/>
    <mergeCell ref="F62:G62"/>
    <mergeCell ref="F56:G56"/>
    <mergeCell ref="A51:C51"/>
    <mergeCell ref="D51:E51"/>
    <mergeCell ref="C55:E55"/>
    <mergeCell ref="C56:E56"/>
    <mergeCell ref="F51:G51"/>
    <mergeCell ref="F52:G52"/>
    <mergeCell ref="F53:G53"/>
    <mergeCell ref="F54:G54"/>
    <mergeCell ref="F55:G55"/>
    <mergeCell ref="C57:E57"/>
    <mergeCell ref="A55:A60"/>
    <mergeCell ref="C52:C54"/>
    <mergeCell ref="C60:E60"/>
    <mergeCell ref="A61:A64"/>
    <mergeCell ref="B58:B59"/>
    <mergeCell ref="C58:C59"/>
    <mergeCell ref="A52:A54"/>
    <mergeCell ref="B52:B54"/>
    <mergeCell ref="C61:E61"/>
    <mergeCell ref="C62:E62"/>
    <mergeCell ref="C63:E63"/>
    <mergeCell ref="C64:E64"/>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BCD73-3F2D-4537-A7E2-E07C17500A1D}">
  <sheetPr>
    <pageSetUpPr fitToPage="1"/>
  </sheetPr>
  <dimension ref="A1:M60"/>
  <sheetViews>
    <sheetView showGridLines="0" zoomScale="80" zoomScaleNormal="80" zoomScaleSheetLayoutView="70" workbookViewId="0">
      <pane xSplit="1" ySplit="9" topLeftCell="B10" activePane="bottomRight" state="frozen"/>
      <selection activeCell="A8" sqref="A8"/>
      <selection pane="topRight" activeCell="B8" sqref="B8"/>
      <selection pane="bottomLeft" activeCell="A12" sqref="A12"/>
      <selection pane="bottomRight" activeCell="B15" sqref="B15:C15"/>
    </sheetView>
  </sheetViews>
  <sheetFormatPr baseColWidth="10" defaultColWidth="10.85546875" defaultRowHeight="12.75" x14ac:dyDescent="0.2"/>
  <cols>
    <col min="1" max="1" width="21.5703125" customWidth="1"/>
    <col min="2" max="2" width="21.28515625" customWidth="1"/>
    <col min="3" max="3" width="42" customWidth="1"/>
    <col min="4" max="4" width="49.7109375" customWidth="1"/>
    <col min="5" max="7" width="9.42578125" style="3" customWidth="1"/>
    <col min="8" max="8" width="46.5703125" style="3" customWidth="1"/>
    <col min="9" max="9" width="9.42578125" style="3" customWidth="1"/>
    <col min="10" max="10" width="13.7109375" style="3" customWidth="1"/>
    <col min="11" max="11" width="16" customWidth="1"/>
    <col min="12" max="12" width="54.42578125" style="14" customWidth="1"/>
  </cols>
  <sheetData>
    <row r="1" spans="1:13" x14ac:dyDescent="0.2">
      <c r="A1" s="188"/>
      <c r="B1" s="188"/>
      <c r="C1" s="154" t="s">
        <v>470</v>
      </c>
      <c r="D1" s="154"/>
      <c r="E1" s="154"/>
      <c r="F1" s="154"/>
      <c r="G1" s="154"/>
      <c r="H1" s="154"/>
      <c r="J1" s="21"/>
      <c r="K1" s="63" t="s">
        <v>200</v>
      </c>
      <c r="L1"/>
      <c r="M1" s="24" t="s">
        <v>482</v>
      </c>
    </row>
    <row r="2" spans="1:13" x14ac:dyDescent="0.2">
      <c r="A2" s="188"/>
      <c r="B2" s="188"/>
      <c r="C2" s="154"/>
      <c r="D2" s="154"/>
      <c r="E2" s="154"/>
      <c r="F2" s="154"/>
      <c r="G2" s="154"/>
      <c r="H2" s="154"/>
      <c r="J2" s="135"/>
      <c r="K2" s="63" t="s">
        <v>201</v>
      </c>
      <c r="L2"/>
      <c r="M2" s="4" t="s">
        <v>495</v>
      </c>
    </row>
    <row r="3" spans="1:13" x14ac:dyDescent="0.2">
      <c r="A3" s="188"/>
      <c r="B3" s="188"/>
      <c r="C3" s="154"/>
      <c r="D3" s="154"/>
      <c r="E3" s="154"/>
      <c r="F3" s="154"/>
      <c r="G3" s="154"/>
      <c r="H3" s="154"/>
      <c r="J3" s="22"/>
      <c r="K3" s="63" t="s">
        <v>202</v>
      </c>
      <c r="L3"/>
      <c r="M3" s="4" t="s">
        <v>496</v>
      </c>
    </row>
    <row r="4" spans="1:13" x14ac:dyDescent="0.2">
      <c r="A4" s="188"/>
      <c r="B4" s="188"/>
      <c r="C4" s="154"/>
      <c r="D4" s="154"/>
      <c r="E4" s="154"/>
      <c r="F4" s="154"/>
      <c r="G4" s="154"/>
      <c r="H4" s="154"/>
      <c r="J4" s="75"/>
      <c r="K4" s="63"/>
      <c r="L4"/>
    </row>
    <row r="5" spans="1:13" x14ac:dyDescent="0.2">
      <c r="J5" s="76" t="s">
        <v>341</v>
      </c>
      <c r="K5" s="63"/>
      <c r="L5"/>
    </row>
    <row r="6" spans="1:13" x14ac:dyDescent="0.2">
      <c r="G6" s="11"/>
      <c r="H6" s="193"/>
      <c r="I6" s="193"/>
      <c r="J6" s="193"/>
      <c r="K6" s="14"/>
      <c r="L6" s="63"/>
    </row>
    <row r="7" spans="1:13" ht="12.75" customHeight="1" x14ac:dyDescent="0.2">
      <c r="B7" s="194" t="s">
        <v>225</v>
      </c>
      <c r="C7" s="197" t="s">
        <v>70</v>
      </c>
      <c r="D7" s="197" t="s">
        <v>66</v>
      </c>
      <c r="E7" s="200" t="s">
        <v>51</v>
      </c>
      <c r="F7" s="202" t="s">
        <v>49</v>
      </c>
      <c r="G7" s="202" t="s">
        <v>169</v>
      </c>
      <c r="H7" s="179" t="s">
        <v>69</v>
      </c>
      <c r="I7" s="202" t="s">
        <v>171</v>
      </c>
      <c r="J7" s="204" t="s">
        <v>173</v>
      </c>
      <c r="K7" s="176" t="s">
        <v>64</v>
      </c>
      <c r="L7" s="179" t="s">
        <v>65</v>
      </c>
    </row>
    <row r="8" spans="1:13" ht="12.75" customHeight="1" x14ac:dyDescent="0.2">
      <c r="B8" s="195"/>
      <c r="C8" s="198"/>
      <c r="D8" s="198"/>
      <c r="E8" s="201"/>
      <c r="F8" s="203"/>
      <c r="G8" s="203"/>
      <c r="H8" s="180"/>
      <c r="I8" s="203"/>
      <c r="J8" s="205"/>
      <c r="K8" s="177"/>
      <c r="L8" s="180"/>
    </row>
    <row r="9" spans="1:13" ht="58.5" customHeight="1" x14ac:dyDescent="0.2">
      <c r="B9" s="196"/>
      <c r="C9" s="199"/>
      <c r="D9" s="199"/>
      <c r="E9" s="12" t="s">
        <v>52</v>
      </c>
      <c r="F9" s="13" t="s">
        <v>50</v>
      </c>
      <c r="G9" s="12" t="s">
        <v>170</v>
      </c>
      <c r="H9" s="181"/>
      <c r="I9" s="45" t="s">
        <v>48</v>
      </c>
      <c r="J9" s="45" t="s">
        <v>172</v>
      </c>
      <c r="K9" s="178"/>
      <c r="L9" s="181"/>
    </row>
    <row r="10" spans="1:13" s="66" customFormat="1" ht="61.5" customHeight="1" x14ac:dyDescent="0.2">
      <c r="A10" s="189" t="s">
        <v>212</v>
      </c>
      <c r="B10" s="191" t="s">
        <v>224</v>
      </c>
      <c r="C10" s="102" t="s">
        <v>227</v>
      </c>
      <c r="D10" s="102" t="s">
        <v>226</v>
      </c>
      <c r="E10" s="88">
        <v>1</v>
      </c>
      <c r="F10" s="38">
        <v>2</v>
      </c>
      <c r="G10" s="91">
        <f>(E10*F10)</f>
        <v>2</v>
      </c>
      <c r="H10" s="73" t="s">
        <v>255</v>
      </c>
      <c r="I10" s="42"/>
      <c r="J10" s="104" t="s">
        <v>253</v>
      </c>
      <c r="K10" s="92" t="s">
        <v>199</v>
      </c>
      <c r="L10" s="65"/>
    </row>
    <row r="11" spans="1:13" ht="45.75" customHeight="1" x14ac:dyDescent="0.2">
      <c r="A11" s="190"/>
      <c r="B11" s="192"/>
      <c r="C11" s="103" t="s">
        <v>264</v>
      </c>
      <c r="D11" s="99" t="s">
        <v>228</v>
      </c>
      <c r="E11" s="88">
        <v>1</v>
      </c>
      <c r="F11" s="88">
        <v>2</v>
      </c>
      <c r="G11" s="91">
        <f t="shared" ref="G11:G40" si="0">(E11*F11)</f>
        <v>2</v>
      </c>
      <c r="H11" s="73" t="s">
        <v>255</v>
      </c>
      <c r="I11" s="73"/>
      <c r="J11" s="104" t="s">
        <v>253</v>
      </c>
      <c r="K11" s="92" t="s">
        <v>199</v>
      </c>
      <c r="L11" s="26" t="s">
        <v>254</v>
      </c>
    </row>
    <row r="12" spans="1:13" ht="94.5" customHeight="1" x14ac:dyDescent="0.2">
      <c r="A12" s="190"/>
      <c r="B12" s="97" t="s">
        <v>229</v>
      </c>
      <c r="C12" s="99" t="s">
        <v>265</v>
      </c>
      <c r="D12" s="99" t="s">
        <v>266</v>
      </c>
      <c r="E12" s="88">
        <v>1</v>
      </c>
      <c r="F12" s="38">
        <v>2</v>
      </c>
      <c r="G12" s="91">
        <f t="shared" si="0"/>
        <v>2</v>
      </c>
      <c r="H12" s="40" t="s">
        <v>309</v>
      </c>
      <c r="I12" s="42">
        <v>0.7</v>
      </c>
      <c r="J12" s="104">
        <f t="shared" ref="J12:J40" si="1">(G12*I12)</f>
        <v>1.4</v>
      </c>
      <c r="K12" s="92" t="s">
        <v>199</v>
      </c>
      <c r="L12" s="25" t="s">
        <v>325</v>
      </c>
    </row>
    <row r="13" spans="1:13" ht="67.5" customHeight="1" x14ac:dyDescent="0.2">
      <c r="A13" s="190"/>
      <c r="B13" s="97" t="s">
        <v>230</v>
      </c>
      <c r="C13" s="99" t="s">
        <v>231</v>
      </c>
      <c r="D13" s="99" t="s">
        <v>268</v>
      </c>
      <c r="E13" s="38">
        <v>1</v>
      </c>
      <c r="F13" s="38">
        <v>2</v>
      </c>
      <c r="G13" s="91">
        <f t="shared" si="0"/>
        <v>2</v>
      </c>
      <c r="H13" s="73" t="s">
        <v>255</v>
      </c>
      <c r="I13" s="73"/>
      <c r="J13" s="104" t="s">
        <v>253</v>
      </c>
      <c r="K13" s="92" t="s">
        <v>199</v>
      </c>
      <c r="L13" s="25" t="s">
        <v>311</v>
      </c>
    </row>
    <row r="14" spans="1:13" ht="123.75" customHeight="1" x14ac:dyDescent="0.2">
      <c r="A14" s="190"/>
      <c r="B14" s="97" t="s">
        <v>232</v>
      </c>
      <c r="C14" s="99" t="s">
        <v>269</v>
      </c>
      <c r="D14" s="99" t="s">
        <v>235</v>
      </c>
      <c r="E14" s="38">
        <v>3</v>
      </c>
      <c r="F14" s="38">
        <v>2</v>
      </c>
      <c r="G14" s="134">
        <f t="shared" si="0"/>
        <v>6</v>
      </c>
      <c r="H14" s="40" t="s">
        <v>329</v>
      </c>
      <c r="I14" s="73" t="s">
        <v>203</v>
      </c>
      <c r="J14" s="104">
        <f t="shared" si="1"/>
        <v>1.7999999999999998</v>
      </c>
      <c r="K14" s="92" t="s">
        <v>199</v>
      </c>
      <c r="L14" s="25" t="s">
        <v>324</v>
      </c>
    </row>
    <row r="15" spans="1:13" ht="96" customHeight="1" x14ac:dyDescent="0.2">
      <c r="A15" s="190"/>
      <c r="B15" s="97" t="s">
        <v>270</v>
      </c>
      <c r="C15" s="99" t="s">
        <v>498</v>
      </c>
      <c r="D15" s="99" t="s">
        <v>235</v>
      </c>
      <c r="E15" s="38">
        <v>2</v>
      </c>
      <c r="F15" s="38">
        <v>2</v>
      </c>
      <c r="G15" s="134">
        <f t="shared" si="0"/>
        <v>4</v>
      </c>
      <c r="H15" s="106" t="s">
        <v>330</v>
      </c>
      <c r="I15" s="73" t="s">
        <v>206</v>
      </c>
      <c r="J15" s="104">
        <f t="shared" si="1"/>
        <v>2.8</v>
      </c>
      <c r="K15" s="92" t="s">
        <v>199</v>
      </c>
      <c r="L15" s="25"/>
    </row>
    <row r="16" spans="1:13" ht="96" customHeight="1" x14ac:dyDescent="0.2">
      <c r="A16" s="190"/>
      <c r="B16" s="97" t="s">
        <v>318</v>
      </c>
      <c r="C16" s="99" t="s">
        <v>319</v>
      </c>
      <c r="D16" s="99" t="s">
        <v>320</v>
      </c>
      <c r="E16" s="38">
        <v>2</v>
      </c>
      <c r="F16" s="38">
        <v>2</v>
      </c>
      <c r="G16" s="134">
        <f t="shared" si="0"/>
        <v>4</v>
      </c>
      <c r="H16" s="120" t="s">
        <v>321</v>
      </c>
      <c r="I16" s="73" t="s">
        <v>203</v>
      </c>
      <c r="J16" s="104">
        <f t="shared" si="1"/>
        <v>1.2</v>
      </c>
      <c r="K16" s="92" t="s">
        <v>199</v>
      </c>
      <c r="L16" s="25" t="s">
        <v>323</v>
      </c>
    </row>
    <row r="17" spans="1:12" ht="20.25" customHeight="1" x14ac:dyDescent="0.2">
      <c r="A17" s="190"/>
      <c r="B17" s="96" t="s">
        <v>233</v>
      </c>
      <c r="C17" s="44" t="s">
        <v>234</v>
      </c>
      <c r="D17" s="44" t="s">
        <v>236</v>
      </c>
      <c r="E17" s="38">
        <v>1</v>
      </c>
      <c r="F17" s="38">
        <v>4</v>
      </c>
      <c r="G17" s="134">
        <v>4</v>
      </c>
      <c r="H17" s="40" t="s">
        <v>326</v>
      </c>
      <c r="I17" s="73" t="s">
        <v>204</v>
      </c>
      <c r="J17" s="104">
        <f>(G17*I17)</f>
        <v>0.2</v>
      </c>
      <c r="K17" s="92" t="s">
        <v>199</v>
      </c>
      <c r="L17" s="25"/>
    </row>
    <row r="18" spans="1:12" ht="147.75" customHeight="1" x14ac:dyDescent="0.2">
      <c r="A18" s="182" t="s">
        <v>237</v>
      </c>
      <c r="B18" s="96" t="s">
        <v>238</v>
      </c>
      <c r="C18" s="40" t="s">
        <v>395</v>
      </c>
      <c r="D18" s="40" t="s">
        <v>317</v>
      </c>
      <c r="E18" s="100">
        <v>1</v>
      </c>
      <c r="F18" s="38">
        <v>2</v>
      </c>
      <c r="G18" s="91">
        <f t="shared" si="0"/>
        <v>2</v>
      </c>
      <c r="H18" s="109" t="s">
        <v>351</v>
      </c>
      <c r="I18" s="73" t="s">
        <v>203</v>
      </c>
      <c r="J18" s="104">
        <f t="shared" ref="J18:J21" si="2">(G18*I18)</f>
        <v>0.6</v>
      </c>
      <c r="K18" s="92" t="s">
        <v>199</v>
      </c>
      <c r="L18" s="27" t="s">
        <v>350</v>
      </c>
    </row>
    <row r="19" spans="1:12" ht="69.75" customHeight="1" x14ac:dyDescent="0.2">
      <c r="A19" s="182"/>
      <c r="B19" s="96" t="s">
        <v>256</v>
      </c>
      <c r="C19" s="40" t="s">
        <v>302</v>
      </c>
      <c r="D19" s="40" t="s">
        <v>331</v>
      </c>
      <c r="E19" s="38">
        <v>1</v>
      </c>
      <c r="F19" s="38">
        <v>2</v>
      </c>
      <c r="G19" s="91">
        <f t="shared" si="0"/>
        <v>2</v>
      </c>
      <c r="H19" s="40" t="s">
        <v>303</v>
      </c>
      <c r="I19" s="73"/>
      <c r="J19" s="104" t="s">
        <v>253</v>
      </c>
      <c r="K19" s="92" t="s">
        <v>199</v>
      </c>
      <c r="L19" s="25"/>
    </row>
    <row r="20" spans="1:12" ht="39" customHeight="1" x14ac:dyDescent="0.2">
      <c r="A20" s="183" t="s">
        <v>239</v>
      </c>
      <c r="B20" s="98" t="s">
        <v>240</v>
      </c>
      <c r="C20" s="40" t="s">
        <v>300</v>
      </c>
      <c r="D20" s="40" t="s">
        <v>332</v>
      </c>
      <c r="E20" s="38">
        <v>1</v>
      </c>
      <c r="F20" s="38">
        <v>1</v>
      </c>
      <c r="G20" s="91">
        <f t="shared" si="0"/>
        <v>1</v>
      </c>
      <c r="H20" s="40" t="s">
        <v>303</v>
      </c>
      <c r="I20" s="73"/>
      <c r="J20" s="104" t="s">
        <v>304</v>
      </c>
      <c r="K20" s="92" t="s">
        <v>199</v>
      </c>
      <c r="L20" s="25"/>
    </row>
    <row r="21" spans="1:12" ht="90.75" customHeight="1" x14ac:dyDescent="0.2">
      <c r="A21" s="184"/>
      <c r="B21" s="94" t="s">
        <v>246</v>
      </c>
      <c r="C21" s="40" t="s">
        <v>275</v>
      </c>
      <c r="D21" s="40" t="s">
        <v>327</v>
      </c>
      <c r="E21" s="38">
        <v>1</v>
      </c>
      <c r="F21" s="38">
        <v>4</v>
      </c>
      <c r="G21" s="134">
        <f t="shared" si="0"/>
        <v>4</v>
      </c>
      <c r="H21" s="40" t="s">
        <v>328</v>
      </c>
      <c r="I21" s="42">
        <v>0.7</v>
      </c>
      <c r="J21" s="104">
        <f t="shared" si="2"/>
        <v>2.8</v>
      </c>
      <c r="K21" s="92" t="s">
        <v>199</v>
      </c>
      <c r="L21" s="25" t="s">
        <v>333</v>
      </c>
    </row>
    <row r="22" spans="1:12" ht="128.25" customHeight="1" x14ac:dyDescent="0.2">
      <c r="A22" s="185" t="s">
        <v>277</v>
      </c>
      <c r="B22" s="123" t="s">
        <v>242</v>
      </c>
      <c r="C22" s="40" t="s">
        <v>377</v>
      </c>
      <c r="D22" s="40" t="s">
        <v>387</v>
      </c>
      <c r="E22" s="38">
        <v>1</v>
      </c>
      <c r="F22" s="38">
        <v>2</v>
      </c>
      <c r="G22" s="91">
        <f t="shared" si="0"/>
        <v>2</v>
      </c>
      <c r="H22" s="73" t="s">
        <v>255</v>
      </c>
      <c r="I22" s="73"/>
      <c r="J22" s="104" t="s">
        <v>253</v>
      </c>
      <c r="K22" s="92" t="s">
        <v>199</v>
      </c>
      <c r="L22" s="108" t="s">
        <v>294</v>
      </c>
    </row>
    <row r="23" spans="1:12" ht="71.45" customHeight="1" x14ac:dyDescent="0.2">
      <c r="A23" s="186"/>
      <c r="B23" s="39" t="s">
        <v>243</v>
      </c>
      <c r="C23" s="40" t="s">
        <v>457</v>
      </c>
      <c r="D23" s="40" t="s">
        <v>259</v>
      </c>
      <c r="E23" s="38">
        <v>1</v>
      </c>
      <c r="F23" s="38">
        <v>2</v>
      </c>
      <c r="G23" s="91">
        <f t="shared" si="0"/>
        <v>2</v>
      </c>
      <c r="H23" s="40" t="s">
        <v>458</v>
      </c>
      <c r="I23" s="73"/>
      <c r="J23" s="104" t="s">
        <v>253</v>
      </c>
      <c r="K23" s="92" t="s">
        <v>199</v>
      </c>
      <c r="L23" s="26"/>
    </row>
    <row r="24" spans="1:12" ht="49.5" customHeight="1" x14ac:dyDescent="0.2">
      <c r="A24" s="187"/>
      <c r="B24" s="107" t="s">
        <v>278</v>
      </c>
      <c r="C24" s="40" t="s">
        <v>280</v>
      </c>
      <c r="D24" s="40" t="s">
        <v>295</v>
      </c>
      <c r="E24" s="38">
        <v>1</v>
      </c>
      <c r="F24" s="38">
        <v>2</v>
      </c>
      <c r="G24" s="91">
        <f t="shared" si="0"/>
        <v>2</v>
      </c>
      <c r="H24" s="73" t="s">
        <v>255</v>
      </c>
      <c r="I24" s="73"/>
      <c r="J24" s="104" t="s">
        <v>253</v>
      </c>
      <c r="K24" s="92" t="s">
        <v>199</v>
      </c>
      <c r="L24" s="25"/>
    </row>
    <row r="25" spans="1:12" ht="65.25" customHeight="1" x14ac:dyDescent="0.2">
      <c r="A25" s="95" t="s">
        <v>244</v>
      </c>
      <c r="B25" s="101" t="s">
        <v>245</v>
      </c>
      <c r="C25" s="40" t="s">
        <v>281</v>
      </c>
      <c r="D25" s="40" t="s">
        <v>268</v>
      </c>
      <c r="E25" s="38">
        <v>2</v>
      </c>
      <c r="F25" s="38">
        <v>3</v>
      </c>
      <c r="G25" s="134">
        <f t="shared" si="0"/>
        <v>6</v>
      </c>
      <c r="H25" s="40" t="s">
        <v>267</v>
      </c>
      <c r="I25" s="73" t="s">
        <v>203</v>
      </c>
      <c r="J25" s="104">
        <f t="shared" si="1"/>
        <v>1.7999999999999998</v>
      </c>
      <c r="K25" s="92" t="s">
        <v>199</v>
      </c>
      <c r="L25" s="25" t="s">
        <v>276</v>
      </c>
    </row>
    <row r="26" spans="1:12" ht="90.75" customHeight="1" x14ac:dyDescent="0.2">
      <c r="A26" s="95" t="s">
        <v>250</v>
      </c>
      <c r="B26" s="101" t="s">
        <v>251</v>
      </c>
      <c r="C26" s="40" t="s">
        <v>282</v>
      </c>
      <c r="D26" s="40" t="s">
        <v>338</v>
      </c>
      <c r="E26" s="38">
        <v>1</v>
      </c>
      <c r="F26" s="38">
        <v>2</v>
      </c>
      <c r="G26" s="91">
        <f t="shared" si="0"/>
        <v>2</v>
      </c>
      <c r="H26" s="68" t="s">
        <v>337</v>
      </c>
      <c r="I26" s="73" t="s">
        <v>206</v>
      </c>
      <c r="J26" s="104">
        <f t="shared" si="1"/>
        <v>1.4</v>
      </c>
      <c r="K26" s="92" t="s">
        <v>199</v>
      </c>
      <c r="L26" s="26"/>
    </row>
    <row r="27" spans="1:12" ht="90.75" customHeight="1" x14ac:dyDescent="0.2">
      <c r="A27" s="172" t="s">
        <v>248</v>
      </c>
      <c r="B27" s="101" t="s">
        <v>373</v>
      </c>
      <c r="C27" s="40" t="s">
        <v>452</v>
      </c>
      <c r="D27" s="40" t="s">
        <v>455</v>
      </c>
      <c r="E27" s="38">
        <v>4</v>
      </c>
      <c r="F27" s="38">
        <v>1</v>
      </c>
      <c r="G27" s="134">
        <f t="shared" si="0"/>
        <v>4</v>
      </c>
      <c r="H27" s="68" t="s">
        <v>454</v>
      </c>
      <c r="I27" s="73" t="s">
        <v>206</v>
      </c>
      <c r="J27" s="104">
        <f t="shared" si="1"/>
        <v>2.8</v>
      </c>
      <c r="K27" s="92" t="s">
        <v>199</v>
      </c>
      <c r="L27" s="26" t="s">
        <v>453</v>
      </c>
    </row>
    <row r="28" spans="1:12" ht="90.75" customHeight="1" x14ac:dyDescent="0.2">
      <c r="A28" s="172"/>
      <c r="B28" s="101" t="s">
        <v>443</v>
      </c>
      <c r="C28" s="40" t="s">
        <v>334</v>
      </c>
      <c r="D28" s="40" t="s">
        <v>451</v>
      </c>
      <c r="E28" s="38">
        <v>3</v>
      </c>
      <c r="F28" s="38">
        <v>2</v>
      </c>
      <c r="G28" s="134">
        <f t="shared" ref="G28:G29" si="3">(E28*F28)</f>
        <v>6</v>
      </c>
      <c r="H28" s="40" t="s">
        <v>459</v>
      </c>
      <c r="I28" s="73" t="s">
        <v>203</v>
      </c>
      <c r="J28" s="104">
        <f t="shared" si="1"/>
        <v>1.7999999999999998</v>
      </c>
      <c r="K28" s="92" t="s">
        <v>199</v>
      </c>
      <c r="L28" s="26"/>
    </row>
    <row r="29" spans="1:12" ht="90.75" customHeight="1" x14ac:dyDescent="0.2">
      <c r="A29" s="172"/>
      <c r="B29" s="101" t="s">
        <v>445</v>
      </c>
      <c r="C29" s="40" t="s">
        <v>446</v>
      </c>
      <c r="D29" s="40" t="s">
        <v>447</v>
      </c>
      <c r="E29" s="38">
        <v>2</v>
      </c>
      <c r="F29" s="38">
        <v>1</v>
      </c>
      <c r="G29" s="91">
        <f t="shared" si="3"/>
        <v>2</v>
      </c>
      <c r="H29" s="40" t="s">
        <v>449</v>
      </c>
      <c r="I29" s="73" t="s">
        <v>206</v>
      </c>
      <c r="J29" s="104">
        <f t="shared" si="1"/>
        <v>1.4</v>
      </c>
      <c r="K29" s="92" t="s">
        <v>199</v>
      </c>
      <c r="L29" s="26" t="s">
        <v>450</v>
      </c>
    </row>
    <row r="30" spans="1:12" ht="103.5" customHeight="1" x14ac:dyDescent="0.2">
      <c r="A30" s="172"/>
      <c r="B30" s="39" t="s">
        <v>386</v>
      </c>
      <c r="C30" s="40" t="s">
        <v>340</v>
      </c>
      <c r="D30" s="40" t="s">
        <v>284</v>
      </c>
      <c r="E30" s="38">
        <v>1</v>
      </c>
      <c r="F30" s="38">
        <v>4</v>
      </c>
      <c r="G30" s="134">
        <f t="shared" si="0"/>
        <v>4</v>
      </c>
      <c r="H30" s="40" t="s">
        <v>336</v>
      </c>
      <c r="I30" s="73" t="s">
        <v>206</v>
      </c>
      <c r="J30" s="104">
        <f t="shared" si="1"/>
        <v>2.8</v>
      </c>
      <c r="K30" s="92" t="s">
        <v>199</v>
      </c>
      <c r="L30" s="25" t="s">
        <v>339</v>
      </c>
    </row>
    <row r="31" spans="1:12" ht="105.6" customHeight="1" x14ac:dyDescent="0.2">
      <c r="A31" s="172"/>
      <c r="B31" s="39" t="s">
        <v>0</v>
      </c>
      <c r="C31" s="40" t="s">
        <v>490</v>
      </c>
      <c r="D31" s="40" t="s">
        <v>346</v>
      </c>
      <c r="E31" s="38">
        <v>1</v>
      </c>
      <c r="F31" s="38">
        <v>4</v>
      </c>
      <c r="G31" s="134">
        <v>4</v>
      </c>
      <c r="H31" s="40" t="s">
        <v>301</v>
      </c>
      <c r="I31" s="73" t="s">
        <v>206</v>
      </c>
      <c r="J31" s="104">
        <f t="shared" si="1"/>
        <v>2.8</v>
      </c>
      <c r="K31" s="92" t="s">
        <v>199</v>
      </c>
      <c r="L31" s="122" t="s">
        <v>347</v>
      </c>
    </row>
    <row r="32" spans="1:12" ht="84.6" customHeight="1" x14ac:dyDescent="0.2">
      <c r="A32" s="172"/>
      <c r="B32" s="39" t="s">
        <v>247</v>
      </c>
      <c r="C32" s="40" t="s">
        <v>290</v>
      </c>
      <c r="D32" s="40" t="s">
        <v>456</v>
      </c>
      <c r="E32" s="38">
        <v>1</v>
      </c>
      <c r="F32" s="38">
        <v>4</v>
      </c>
      <c r="G32" s="134">
        <f t="shared" si="0"/>
        <v>4</v>
      </c>
      <c r="H32" s="40" t="s">
        <v>301</v>
      </c>
      <c r="I32" s="73" t="s">
        <v>206</v>
      </c>
      <c r="J32" s="104">
        <f t="shared" si="1"/>
        <v>2.8</v>
      </c>
      <c r="K32" s="92" t="s">
        <v>199</v>
      </c>
      <c r="L32" s="71"/>
    </row>
    <row r="33" spans="1:12" ht="156.75" customHeight="1" x14ac:dyDescent="0.2">
      <c r="A33" s="172"/>
      <c r="B33" s="39" t="s">
        <v>261</v>
      </c>
      <c r="C33" s="40" t="s">
        <v>262</v>
      </c>
      <c r="D33" s="40" t="s">
        <v>285</v>
      </c>
      <c r="E33" s="38">
        <v>4</v>
      </c>
      <c r="F33" s="38">
        <v>2</v>
      </c>
      <c r="G33" s="89">
        <f t="shared" si="0"/>
        <v>8</v>
      </c>
      <c r="H33" s="40" t="s">
        <v>368</v>
      </c>
      <c r="I33" s="73" t="s">
        <v>203</v>
      </c>
      <c r="J33" s="104">
        <f t="shared" si="1"/>
        <v>2.4</v>
      </c>
      <c r="K33" s="92" t="s">
        <v>199</v>
      </c>
      <c r="L33" s="71"/>
    </row>
    <row r="34" spans="1:12" ht="78.599999999999994" customHeight="1" x14ac:dyDescent="0.2">
      <c r="A34" s="172"/>
      <c r="B34" s="123" t="s">
        <v>460</v>
      </c>
      <c r="C34" s="40" t="s">
        <v>463</v>
      </c>
      <c r="D34" s="40" t="s">
        <v>462</v>
      </c>
      <c r="E34" s="38">
        <v>1</v>
      </c>
      <c r="F34" s="38">
        <v>4</v>
      </c>
      <c r="G34" s="134">
        <f t="shared" si="0"/>
        <v>4</v>
      </c>
      <c r="H34" s="40" t="s">
        <v>461</v>
      </c>
      <c r="I34" s="73" t="s">
        <v>206</v>
      </c>
      <c r="J34" s="104">
        <f t="shared" si="1"/>
        <v>2.8</v>
      </c>
      <c r="K34" s="92" t="s">
        <v>199</v>
      </c>
      <c r="L34" s="121" t="s">
        <v>464</v>
      </c>
    </row>
    <row r="35" spans="1:12" ht="106.5" customHeight="1" x14ac:dyDescent="0.2">
      <c r="A35" s="172"/>
      <c r="B35" s="173" t="s">
        <v>249</v>
      </c>
      <c r="C35" s="120" t="s">
        <v>345</v>
      </c>
      <c r="D35" s="44" t="s">
        <v>448</v>
      </c>
      <c r="E35" s="38">
        <v>4</v>
      </c>
      <c r="F35" s="38">
        <v>1</v>
      </c>
      <c r="G35" s="134">
        <f t="shared" si="0"/>
        <v>4</v>
      </c>
      <c r="H35" s="40" t="s">
        <v>444</v>
      </c>
      <c r="I35" s="73" t="s">
        <v>206</v>
      </c>
      <c r="J35" s="104">
        <f t="shared" si="1"/>
        <v>2.8</v>
      </c>
      <c r="K35" s="92" t="s">
        <v>53</v>
      </c>
      <c r="L35" s="121"/>
    </row>
    <row r="36" spans="1:12" ht="72.75" customHeight="1" x14ac:dyDescent="0.2">
      <c r="A36" s="172"/>
      <c r="B36" s="174"/>
      <c r="C36" s="40" t="s">
        <v>335</v>
      </c>
      <c r="D36" s="44" t="s">
        <v>343</v>
      </c>
      <c r="E36" s="38">
        <v>1</v>
      </c>
      <c r="F36" s="38">
        <v>4</v>
      </c>
      <c r="G36" s="134">
        <f t="shared" si="0"/>
        <v>4</v>
      </c>
      <c r="H36" s="40" t="s">
        <v>348</v>
      </c>
      <c r="I36" s="73" t="s">
        <v>206</v>
      </c>
      <c r="J36" s="104">
        <f t="shared" si="1"/>
        <v>2.8</v>
      </c>
      <c r="K36" s="92" t="s">
        <v>199</v>
      </c>
      <c r="L36" s="121" t="s">
        <v>344</v>
      </c>
    </row>
    <row r="37" spans="1:12" ht="93.75" customHeight="1" x14ac:dyDescent="0.2">
      <c r="A37" s="172"/>
      <c r="B37" s="174"/>
      <c r="C37" s="40" t="s">
        <v>467</v>
      </c>
      <c r="D37" s="40" t="s">
        <v>468</v>
      </c>
      <c r="E37" s="38">
        <v>1</v>
      </c>
      <c r="F37" s="38">
        <v>4</v>
      </c>
      <c r="G37" s="134">
        <f t="shared" si="0"/>
        <v>4</v>
      </c>
      <c r="H37" s="40" t="s">
        <v>465</v>
      </c>
      <c r="I37" s="73" t="s">
        <v>206</v>
      </c>
      <c r="J37" s="104">
        <f t="shared" si="1"/>
        <v>2.8</v>
      </c>
      <c r="K37" s="92" t="s">
        <v>199</v>
      </c>
      <c r="L37" s="121" t="s">
        <v>376</v>
      </c>
    </row>
    <row r="38" spans="1:12" ht="82.5" customHeight="1" x14ac:dyDescent="0.2">
      <c r="A38" s="172"/>
      <c r="B38" s="175"/>
      <c r="C38" s="40" t="s">
        <v>374</v>
      </c>
      <c r="D38" s="40" t="s">
        <v>375</v>
      </c>
      <c r="E38" s="38">
        <v>2</v>
      </c>
      <c r="F38" s="38">
        <v>2</v>
      </c>
      <c r="G38" s="134">
        <f t="shared" si="0"/>
        <v>4</v>
      </c>
      <c r="H38" s="40" t="s">
        <v>442</v>
      </c>
      <c r="I38" s="73" t="s">
        <v>204</v>
      </c>
      <c r="J38" s="104">
        <f t="shared" si="1"/>
        <v>0.2</v>
      </c>
      <c r="K38" s="92" t="s">
        <v>199</v>
      </c>
      <c r="L38" s="43"/>
    </row>
    <row r="39" spans="1:12" ht="74.25" customHeight="1" x14ac:dyDescent="0.2">
      <c r="A39" s="172"/>
      <c r="B39" s="105" t="s">
        <v>252</v>
      </c>
      <c r="C39" s="40" t="s">
        <v>272</v>
      </c>
      <c r="D39" s="40" t="s">
        <v>288</v>
      </c>
      <c r="E39" s="38">
        <v>1</v>
      </c>
      <c r="F39" s="38">
        <v>2</v>
      </c>
      <c r="G39" s="91">
        <f t="shared" si="0"/>
        <v>2</v>
      </c>
      <c r="H39" s="40" t="s">
        <v>289</v>
      </c>
      <c r="I39" s="73" t="s">
        <v>204</v>
      </c>
      <c r="J39" s="104">
        <f t="shared" si="1"/>
        <v>0.1</v>
      </c>
      <c r="K39" s="92" t="s">
        <v>199</v>
      </c>
      <c r="L39" s="39"/>
    </row>
    <row r="40" spans="1:12" ht="73.5" customHeight="1" x14ac:dyDescent="0.2">
      <c r="A40" s="172"/>
      <c r="B40" s="105" t="s">
        <v>263</v>
      </c>
      <c r="C40" s="40" t="s">
        <v>297</v>
      </c>
      <c r="D40" s="40" t="s">
        <v>298</v>
      </c>
      <c r="E40" s="38">
        <v>1</v>
      </c>
      <c r="F40" s="38">
        <v>2</v>
      </c>
      <c r="G40" s="91">
        <f t="shared" si="0"/>
        <v>2</v>
      </c>
      <c r="H40" s="40" t="s">
        <v>299</v>
      </c>
      <c r="I40" s="73" t="s">
        <v>203</v>
      </c>
      <c r="J40" s="104">
        <f t="shared" si="1"/>
        <v>0.6</v>
      </c>
      <c r="K40" s="92" t="s">
        <v>199</v>
      </c>
      <c r="L40" s="25"/>
    </row>
    <row r="41" spans="1:12" x14ac:dyDescent="0.2">
      <c r="B41" s="1"/>
      <c r="C41" s="1"/>
      <c r="D41" s="1"/>
      <c r="E41" s="10"/>
      <c r="F41" s="10"/>
      <c r="G41" s="10"/>
      <c r="H41" s="10"/>
      <c r="I41" s="10"/>
      <c r="J41" s="10"/>
      <c r="K41" s="14"/>
    </row>
    <row r="42" spans="1:12" x14ac:dyDescent="0.2">
      <c r="B42" s="1"/>
      <c r="C42" s="1"/>
      <c r="D42" s="1"/>
      <c r="E42" s="10"/>
      <c r="F42" s="10"/>
      <c r="G42" s="10"/>
      <c r="H42" s="10"/>
      <c r="I42" s="10"/>
      <c r="J42" s="10"/>
      <c r="K42" s="14"/>
    </row>
    <row r="43" spans="1:12" x14ac:dyDescent="0.2">
      <c r="B43" s="1"/>
      <c r="C43" s="1"/>
      <c r="D43" s="1"/>
      <c r="E43" s="10"/>
      <c r="F43" s="10"/>
      <c r="G43" s="10"/>
      <c r="H43" s="10"/>
      <c r="I43" s="10"/>
      <c r="J43" s="10"/>
      <c r="K43" s="14"/>
    </row>
    <row r="44" spans="1:12" x14ac:dyDescent="0.2">
      <c r="B44" s="1"/>
      <c r="C44" s="1"/>
      <c r="D44" s="1"/>
      <c r="E44" s="10"/>
      <c r="F44" s="10"/>
      <c r="G44" s="10"/>
      <c r="H44" s="10"/>
      <c r="I44" s="10"/>
      <c r="J44" s="10"/>
      <c r="K44" s="14"/>
    </row>
    <row r="45" spans="1:12" x14ac:dyDescent="0.2">
      <c r="B45" s="1"/>
      <c r="C45" s="1"/>
      <c r="D45" s="1"/>
      <c r="E45" s="10"/>
      <c r="F45" s="10"/>
      <c r="G45" s="10"/>
      <c r="H45" s="10"/>
      <c r="I45" s="10"/>
      <c r="J45" s="10"/>
      <c r="K45" s="14"/>
    </row>
    <row r="46" spans="1:12" x14ac:dyDescent="0.2">
      <c r="B46" s="1"/>
      <c r="C46" s="1"/>
      <c r="D46" s="1"/>
      <c r="E46" s="1"/>
      <c r="F46" s="1"/>
      <c r="G46" s="1"/>
      <c r="H46" s="1"/>
      <c r="I46" s="1"/>
      <c r="J46" s="1"/>
      <c r="K46" s="14"/>
    </row>
    <row r="47" spans="1:12" x14ac:dyDescent="0.2">
      <c r="B47" s="1"/>
      <c r="C47" s="1"/>
      <c r="D47" s="1"/>
      <c r="E47" s="1"/>
      <c r="F47" s="1"/>
      <c r="G47" s="1"/>
      <c r="H47" s="1"/>
      <c r="I47" s="1"/>
      <c r="J47" s="1"/>
      <c r="K47" s="14"/>
    </row>
    <row r="48" spans="1:12" x14ac:dyDescent="0.2">
      <c r="B48" s="1"/>
      <c r="C48" s="1"/>
      <c r="D48" s="1"/>
      <c r="E48" s="1"/>
      <c r="F48" s="1"/>
      <c r="G48" s="1"/>
      <c r="H48" s="1"/>
      <c r="I48" s="1"/>
      <c r="J48" s="1"/>
      <c r="K48" s="14"/>
    </row>
    <row r="49" spans="2:11" x14ac:dyDescent="0.2">
      <c r="B49" s="1"/>
      <c r="C49" s="1"/>
      <c r="D49" s="1"/>
      <c r="E49" s="1"/>
      <c r="F49" s="1"/>
      <c r="G49" s="1"/>
      <c r="H49" s="1"/>
      <c r="I49" s="1"/>
      <c r="J49" s="1"/>
      <c r="K49" s="14"/>
    </row>
    <row r="50" spans="2:11" x14ac:dyDescent="0.2">
      <c r="B50" s="1"/>
      <c r="C50" s="1"/>
      <c r="D50" s="1"/>
      <c r="E50" s="1"/>
      <c r="F50" s="1"/>
      <c r="G50" s="1"/>
      <c r="H50" s="1"/>
      <c r="I50" s="1"/>
      <c r="J50" s="1"/>
      <c r="K50" s="14"/>
    </row>
    <row r="51" spans="2:11" x14ac:dyDescent="0.2">
      <c r="B51" s="1"/>
      <c r="C51" s="1"/>
      <c r="D51" s="1"/>
      <c r="E51" s="1"/>
      <c r="F51" s="1"/>
      <c r="G51" s="1"/>
      <c r="H51" s="1"/>
      <c r="I51" s="1"/>
      <c r="J51" s="1"/>
      <c r="K51" s="14"/>
    </row>
    <row r="52" spans="2:11" x14ac:dyDescent="0.2">
      <c r="B52" s="1"/>
      <c r="C52" s="1"/>
      <c r="D52" s="1"/>
      <c r="E52" s="1"/>
      <c r="F52" s="1"/>
      <c r="G52" s="1"/>
      <c r="H52" s="1"/>
      <c r="I52" s="1"/>
      <c r="J52" s="1"/>
      <c r="K52" s="14"/>
    </row>
    <row r="53" spans="2:11" x14ac:dyDescent="0.2">
      <c r="B53" s="1"/>
      <c r="C53" s="1"/>
      <c r="D53" s="1"/>
      <c r="E53" s="1"/>
      <c r="F53" s="1"/>
      <c r="G53" s="1"/>
      <c r="H53" s="1"/>
      <c r="I53" s="1"/>
      <c r="J53" s="1"/>
      <c r="K53" s="14"/>
    </row>
    <row r="54" spans="2:11" ht="12.75" customHeight="1" x14ac:dyDescent="0.2">
      <c r="E54" s="1"/>
      <c r="F54" s="1"/>
      <c r="G54" s="1"/>
      <c r="H54" s="1"/>
      <c r="I54" s="1"/>
      <c r="J54" s="1"/>
    </row>
    <row r="55" spans="2:11" x14ac:dyDescent="0.2">
      <c r="E55" s="1"/>
      <c r="F55" s="1"/>
      <c r="G55" s="1"/>
      <c r="H55" s="1"/>
      <c r="I55" s="1"/>
      <c r="J55" s="1"/>
    </row>
    <row r="60" spans="2:11" ht="12.75" customHeight="1" x14ac:dyDescent="0.2"/>
  </sheetData>
  <autoFilter ref="B9:L40" xr:uid="{00000000-0009-0000-0000-000003000000}"/>
  <mergeCells count="21">
    <mergeCell ref="A1:B4"/>
    <mergeCell ref="C1:H4"/>
    <mergeCell ref="A10:A17"/>
    <mergeCell ref="B10:B11"/>
    <mergeCell ref="H6:J6"/>
    <mergeCell ref="B7:B9"/>
    <mergeCell ref="C7:C9"/>
    <mergeCell ref="D7:D9"/>
    <mergeCell ref="E7:E8"/>
    <mergeCell ref="F7:F8"/>
    <mergeCell ref="G7:G8"/>
    <mergeCell ref="H7:H9"/>
    <mergeCell ref="I7:I8"/>
    <mergeCell ref="J7:J8"/>
    <mergeCell ref="A27:A40"/>
    <mergeCell ref="B35:B38"/>
    <mergeCell ref="K7:K9"/>
    <mergeCell ref="L7:L9"/>
    <mergeCell ref="A18:A19"/>
    <mergeCell ref="A20:A21"/>
    <mergeCell ref="A22:A24"/>
  </mergeCells>
  <conditionalFormatting sqref="F10:F40">
    <cfRule type="cellIs" dxfId="26" priority="36" stopIfTrue="1" operator="equal">
      <formula>5</formula>
    </cfRule>
  </conditionalFormatting>
  <conditionalFormatting sqref="G10:G40">
    <cfRule type="cellIs" dxfId="25" priority="33" stopIfTrue="1" operator="equal">
      <formula>"Critique"</formula>
    </cfRule>
    <cfRule type="cellIs" dxfId="24" priority="34" stopIfTrue="1" operator="equal">
      <formula>"A évaluer"</formula>
    </cfRule>
    <cfRule type="cellIs" dxfId="23" priority="35" stopIfTrue="1" operator="equal">
      <formula>"Non critique"</formula>
    </cfRule>
  </conditionalFormatting>
  <conditionalFormatting sqref="J10:J40">
    <cfRule type="cellIs" dxfId="22" priority="21" stopIfTrue="1" operator="equal">
      <formula>"Critique"</formula>
    </cfRule>
    <cfRule type="cellIs" dxfId="21" priority="22" stopIfTrue="1" operator="equal">
      <formula>"A évaluer"</formula>
    </cfRule>
    <cfRule type="cellIs" dxfId="20" priority="23" stopIfTrue="1" operator="equal">
      <formula>"Non critique"</formula>
    </cfRule>
  </conditionalFormatting>
  <pageMargins left="0.15748031496062992" right="0.15748031496062992" top="0.35433070866141736" bottom="0.23622047244094491" header="0.19685039370078741" footer="0.15748031496062992"/>
  <pageSetup paperSize="8" scale="47" fitToHeight="2" orientation="landscape"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FB361-2DFE-4D0E-94AF-7FAF8CC516C2}">
  <sheetPr>
    <pageSetUpPr fitToPage="1"/>
  </sheetPr>
  <dimension ref="A1:M54"/>
  <sheetViews>
    <sheetView showGridLines="0" zoomScale="80" zoomScaleNormal="80" zoomScaleSheetLayoutView="70" workbookViewId="0">
      <pane xSplit="1" ySplit="9" topLeftCell="B10" activePane="bottomRight" state="frozen"/>
      <selection activeCell="A8" sqref="A8"/>
      <selection pane="topRight" activeCell="B8" sqref="B8"/>
      <selection pane="bottomLeft" activeCell="A12" sqref="A12"/>
      <selection pane="bottomRight" activeCell="L29" sqref="L29"/>
    </sheetView>
  </sheetViews>
  <sheetFormatPr baseColWidth="10" defaultColWidth="10.85546875" defaultRowHeight="12.75" x14ac:dyDescent="0.2"/>
  <cols>
    <col min="1" max="1" width="21.5703125" customWidth="1"/>
    <col min="2" max="2" width="21.28515625" customWidth="1"/>
    <col min="3" max="3" width="42" customWidth="1"/>
    <col min="4" max="4" width="49.7109375" customWidth="1"/>
    <col min="5" max="7" width="9.42578125" style="3" customWidth="1"/>
    <col min="8" max="8" width="46.5703125" style="3" customWidth="1"/>
    <col min="9" max="9" width="9.42578125" style="3" customWidth="1"/>
    <col min="10" max="10" width="13.7109375" style="3" customWidth="1"/>
    <col min="11" max="11" width="16" customWidth="1"/>
    <col min="12" max="12" width="54.42578125" style="14" customWidth="1"/>
  </cols>
  <sheetData>
    <row r="1" spans="1:13" x14ac:dyDescent="0.2">
      <c r="A1" s="188"/>
      <c r="B1" s="188"/>
      <c r="C1" s="154" t="s">
        <v>471</v>
      </c>
      <c r="D1" s="154"/>
      <c r="E1" s="154"/>
      <c r="F1" s="154"/>
      <c r="G1" s="154"/>
      <c r="H1" s="154"/>
      <c r="J1" s="21"/>
      <c r="K1" s="63" t="s">
        <v>200</v>
      </c>
      <c r="L1"/>
      <c r="M1" s="24" t="s">
        <v>482</v>
      </c>
    </row>
    <row r="2" spans="1:13" x14ac:dyDescent="0.2">
      <c r="A2" s="188"/>
      <c r="B2" s="188"/>
      <c r="C2" s="154"/>
      <c r="D2" s="154"/>
      <c r="E2" s="154"/>
      <c r="F2" s="154"/>
      <c r="G2" s="154"/>
      <c r="H2" s="154"/>
      <c r="J2" s="135"/>
      <c r="K2" s="63" t="s">
        <v>201</v>
      </c>
      <c r="L2"/>
      <c r="M2" s="4" t="s">
        <v>495</v>
      </c>
    </row>
    <row r="3" spans="1:13" x14ac:dyDescent="0.2">
      <c r="A3" s="188"/>
      <c r="B3" s="188"/>
      <c r="C3" s="154"/>
      <c r="D3" s="154"/>
      <c r="E3" s="154"/>
      <c r="F3" s="154"/>
      <c r="G3" s="154"/>
      <c r="H3" s="154"/>
      <c r="J3" s="22"/>
      <c r="K3" s="63" t="s">
        <v>202</v>
      </c>
      <c r="L3"/>
      <c r="M3" s="4" t="s">
        <v>496</v>
      </c>
    </row>
    <row r="4" spans="1:13" x14ac:dyDescent="0.2">
      <c r="A4" s="188"/>
      <c r="B4" s="188"/>
      <c r="C4" s="154"/>
      <c r="D4" s="154"/>
      <c r="E4" s="154"/>
      <c r="F4" s="154"/>
      <c r="G4" s="154"/>
      <c r="H4" s="154"/>
      <c r="J4" s="75"/>
      <c r="K4" s="63"/>
      <c r="L4"/>
    </row>
    <row r="5" spans="1:13" x14ac:dyDescent="0.2">
      <c r="J5" s="76" t="s">
        <v>342</v>
      </c>
      <c r="K5" s="63"/>
      <c r="L5"/>
    </row>
    <row r="6" spans="1:13" x14ac:dyDescent="0.2">
      <c r="G6" s="11"/>
      <c r="H6" s="193"/>
      <c r="I6" s="193"/>
      <c r="J6" s="193"/>
      <c r="K6" s="14"/>
      <c r="L6" s="63"/>
    </row>
    <row r="7" spans="1:13" ht="12.75" customHeight="1" x14ac:dyDescent="0.2">
      <c r="B7" s="194" t="s">
        <v>225</v>
      </c>
      <c r="C7" s="197" t="s">
        <v>70</v>
      </c>
      <c r="D7" s="197" t="s">
        <v>66</v>
      </c>
      <c r="E7" s="200" t="s">
        <v>51</v>
      </c>
      <c r="F7" s="202" t="s">
        <v>49</v>
      </c>
      <c r="G7" s="202" t="s">
        <v>169</v>
      </c>
      <c r="H7" s="179" t="s">
        <v>69</v>
      </c>
      <c r="I7" s="202" t="s">
        <v>171</v>
      </c>
      <c r="J7" s="204" t="s">
        <v>173</v>
      </c>
      <c r="K7" s="176" t="s">
        <v>64</v>
      </c>
      <c r="L7" s="179" t="s">
        <v>65</v>
      </c>
    </row>
    <row r="8" spans="1:13" ht="12.75" customHeight="1" x14ac:dyDescent="0.2">
      <c r="B8" s="195"/>
      <c r="C8" s="198"/>
      <c r="D8" s="198"/>
      <c r="E8" s="201"/>
      <c r="F8" s="203"/>
      <c r="G8" s="203"/>
      <c r="H8" s="180"/>
      <c r="I8" s="203"/>
      <c r="J8" s="205"/>
      <c r="K8" s="177"/>
      <c r="L8" s="180"/>
    </row>
    <row r="9" spans="1:13" ht="58.5" customHeight="1" x14ac:dyDescent="0.2">
      <c r="B9" s="196"/>
      <c r="C9" s="199"/>
      <c r="D9" s="199"/>
      <c r="E9" s="12" t="s">
        <v>52</v>
      </c>
      <c r="F9" s="13" t="s">
        <v>50</v>
      </c>
      <c r="G9" s="12" t="s">
        <v>170</v>
      </c>
      <c r="H9" s="181"/>
      <c r="I9" s="45" t="s">
        <v>48</v>
      </c>
      <c r="J9" s="45" t="s">
        <v>172</v>
      </c>
      <c r="K9" s="178"/>
      <c r="L9" s="181"/>
    </row>
    <row r="10" spans="1:13" s="66" customFormat="1" ht="108" customHeight="1" x14ac:dyDescent="0.2">
      <c r="A10" s="189" t="s">
        <v>212</v>
      </c>
      <c r="B10" s="191" t="s">
        <v>224</v>
      </c>
      <c r="C10" s="102" t="s">
        <v>227</v>
      </c>
      <c r="D10" s="102" t="s">
        <v>307</v>
      </c>
      <c r="E10" s="88">
        <v>1</v>
      </c>
      <c r="F10" s="38">
        <v>2</v>
      </c>
      <c r="G10" s="91">
        <f>(E10*F10)</f>
        <v>2</v>
      </c>
      <c r="H10" s="40" t="s">
        <v>358</v>
      </c>
      <c r="I10" s="42">
        <v>0.7</v>
      </c>
      <c r="J10" s="104">
        <f>(G10*I10)</f>
        <v>1.4</v>
      </c>
      <c r="K10" s="92" t="s">
        <v>199</v>
      </c>
      <c r="L10" s="25" t="s">
        <v>484</v>
      </c>
    </row>
    <row r="11" spans="1:13" ht="45.75" customHeight="1" x14ac:dyDescent="0.2">
      <c r="A11" s="190"/>
      <c r="B11" s="192"/>
      <c r="C11" s="103" t="s">
        <v>264</v>
      </c>
      <c r="D11" s="99" t="s">
        <v>306</v>
      </c>
      <c r="E11" s="88">
        <v>1</v>
      </c>
      <c r="F11" s="88">
        <v>2</v>
      </c>
      <c r="G11" s="91">
        <f t="shared" ref="G11:G35" si="0">(E11*F11)</f>
        <v>2</v>
      </c>
      <c r="H11" s="73" t="s">
        <v>255</v>
      </c>
      <c r="I11" s="73"/>
      <c r="J11" s="104" t="s">
        <v>253</v>
      </c>
      <c r="K11" s="92" t="s">
        <v>199</v>
      </c>
      <c r="L11" s="26"/>
    </row>
    <row r="12" spans="1:13" ht="107.25" customHeight="1" x14ac:dyDescent="0.2">
      <c r="A12" s="190"/>
      <c r="B12" s="97" t="s">
        <v>229</v>
      </c>
      <c r="C12" s="99" t="s">
        <v>265</v>
      </c>
      <c r="D12" s="99" t="s">
        <v>266</v>
      </c>
      <c r="E12" s="88">
        <v>1</v>
      </c>
      <c r="F12" s="38">
        <v>2</v>
      </c>
      <c r="G12" s="91">
        <f t="shared" si="0"/>
        <v>2</v>
      </c>
      <c r="H12" s="40" t="s">
        <v>352</v>
      </c>
      <c r="I12" s="42">
        <v>0.7</v>
      </c>
      <c r="J12" s="104">
        <f t="shared" ref="J12:J35" si="1">(G12*I12)</f>
        <v>1.4</v>
      </c>
      <c r="K12" s="92" t="s">
        <v>199</v>
      </c>
      <c r="L12" s="25" t="s">
        <v>364</v>
      </c>
    </row>
    <row r="13" spans="1:13" ht="96.75" customHeight="1" x14ac:dyDescent="0.2">
      <c r="A13" s="190"/>
      <c r="B13" s="97" t="s">
        <v>230</v>
      </c>
      <c r="C13" s="99" t="s">
        <v>231</v>
      </c>
      <c r="D13" s="99" t="s">
        <v>310</v>
      </c>
      <c r="E13" s="38">
        <v>1</v>
      </c>
      <c r="F13" s="38">
        <v>2</v>
      </c>
      <c r="G13" s="91">
        <f t="shared" si="0"/>
        <v>2</v>
      </c>
      <c r="H13" s="40" t="s">
        <v>358</v>
      </c>
      <c r="I13" s="73" t="s">
        <v>203</v>
      </c>
      <c r="J13" s="104">
        <f t="shared" si="1"/>
        <v>0.6</v>
      </c>
      <c r="K13" s="92" t="s">
        <v>199</v>
      </c>
      <c r="L13" s="25" t="s">
        <v>365</v>
      </c>
    </row>
    <row r="14" spans="1:13" ht="163.5" customHeight="1" x14ac:dyDescent="0.2">
      <c r="A14" s="190"/>
      <c r="B14" s="97" t="s">
        <v>232</v>
      </c>
      <c r="C14" s="99" t="s">
        <v>269</v>
      </c>
      <c r="D14" s="99" t="s">
        <v>235</v>
      </c>
      <c r="E14" s="38">
        <v>3</v>
      </c>
      <c r="F14" s="38">
        <v>2</v>
      </c>
      <c r="G14" s="134">
        <f t="shared" si="0"/>
        <v>6</v>
      </c>
      <c r="H14" s="40" t="s">
        <v>362</v>
      </c>
      <c r="I14" s="73" t="s">
        <v>203</v>
      </c>
      <c r="J14" s="104">
        <f t="shared" si="1"/>
        <v>1.7999999999999998</v>
      </c>
      <c r="K14" s="92" t="s">
        <v>199</v>
      </c>
      <c r="L14" s="25" t="s">
        <v>366</v>
      </c>
    </row>
    <row r="15" spans="1:13" ht="134.25" customHeight="1" x14ac:dyDescent="0.2">
      <c r="A15" s="190"/>
      <c r="B15" s="97" t="s">
        <v>270</v>
      </c>
      <c r="C15" s="99" t="s">
        <v>498</v>
      </c>
      <c r="D15" s="99" t="s">
        <v>235</v>
      </c>
      <c r="E15" s="38">
        <v>2</v>
      </c>
      <c r="F15" s="38">
        <v>2</v>
      </c>
      <c r="G15" s="134">
        <f t="shared" si="0"/>
        <v>4</v>
      </c>
      <c r="H15" s="40" t="s">
        <v>363</v>
      </c>
      <c r="I15" s="73" t="s">
        <v>206</v>
      </c>
      <c r="J15" s="104">
        <f t="shared" si="1"/>
        <v>2.8</v>
      </c>
      <c r="K15" s="92" t="s">
        <v>199</v>
      </c>
      <c r="L15" s="25" t="s">
        <v>484</v>
      </c>
    </row>
    <row r="16" spans="1:13" ht="96" customHeight="1" x14ac:dyDescent="0.2">
      <c r="A16" s="190"/>
      <c r="B16" s="97" t="s">
        <v>318</v>
      </c>
      <c r="C16" s="99" t="s">
        <v>319</v>
      </c>
      <c r="D16" s="99" t="s">
        <v>320</v>
      </c>
      <c r="E16" s="38">
        <v>1</v>
      </c>
      <c r="F16" s="38">
        <v>2</v>
      </c>
      <c r="G16" s="91">
        <f t="shared" si="0"/>
        <v>2</v>
      </c>
      <c r="H16" s="120" t="s">
        <v>380</v>
      </c>
      <c r="I16" s="73" t="s">
        <v>206</v>
      </c>
      <c r="J16" s="104">
        <f t="shared" si="1"/>
        <v>1.4</v>
      </c>
      <c r="K16" s="92" t="s">
        <v>199</v>
      </c>
      <c r="L16" s="25" t="s">
        <v>322</v>
      </c>
    </row>
    <row r="17" spans="1:12" ht="20.25" customHeight="1" x14ac:dyDescent="0.2">
      <c r="A17" s="190"/>
      <c r="B17" s="96" t="s">
        <v>233</v>
      </c>
      <c r="C17" s="44" t="s">
        <v>234</v>
      </c>
      <c r="D17" s="44" t="s">
        <v>236</v>
      </c>
      <c r="E17" s="38">
        <v>1</v>
      </c>
      <c r="F17" s="38">
        <v>4</v>
      </c>
      <c r="G17" s="134">
        <v>4</v>
      </c>
      <c r="H17" s="40" t="s">
        <v>308</v>
      </c>
      <c r="I17" s="73" t="s">
        <v>204</v>
      </c>
      <c r="J17" s="104">
        <f>(G17*I17)</f>
        <v>0.2</v>
      </c>
      <c r="K17" s="92" t="s">
        <v>199</v>
      </c>
      <c r="L17" s="25"/>
    </row>
    <row r="18" spans="1:12" ht="54" customHeight="1" x14ac:dyDescent="0.2">
      <c r="A18" s="182" t="s">
        <v>237</v>
      </c>
      <c r="B18" s="96" t="s">
        <v>256</v>
      </c>
      <c r="C18" s="40" t="s">
        <v>353</v>
      </c>
      <c r="D18" s="40" t="s">
        <v>331</v>
      </c>
      <c r="E18" s="38">
        <v>1</v>
      </c>
      <c r="F18" s="38">
        <v>2</v>
      </c>
      <c r="G18" s="91">
        <f t="shared" si="0"/>
        <v>2</v>
      </c>
      <c r="H18" s="40" t="s">
        <v>354</v>
      </c>
      <c r="I18" s="73" t="s">
        <v>206</v>
      </c>
      <c r="J18" s="104">
        <f t="shared" ref="J18:J25" si="2">(G18*I18)</f>
        <v>1.4</v>
      </c>
      <c r="K18" s="92" t="s">
        <v>199</v>
      </c>
      <c r="L18" s="25"/>
    </row>
    <row r="19" spans="1:12" ht="54" customHeight="1" x14ac:dyDescent="0.2">
      <c r="A19" s="182"/>
      <c r="B19" s="98" t="s">
        <v>391</v>
      </c>
      <c r="C19" s="40" t="s">
        <v>392</v>
      </c>
      <c r="D19" s="40" t="s">
        <v>393</v>
      </c>
      <c r="E19" s="38">
        <v>1</v>
      </c>
      <c r="F19" s="38">
        <v>1</v>
      </c>
      <c r="G19" s="91">
        <f t="shared" si="0"/>
        <v>1</v>
      </c>
      <c r="H19" s="40" t="s">
        <v>394</v>
      </c>
      <c r="I19" s="73" t="s">
        <v>204</v>
      </c>
      <c r="J19" s="104">
        <f t="shared" si="2"/>
        <v>0.05</v>
      </c>
      <c r="K19" s="92" t="s">
        <v>199</v>
      </c>
      <c r="L19" s="25"/>
    </row>
    <row r="20" spans="1:12" ht="39" customHeight="1" x14ac:dyDescent="0.2">
      <c r="A20" s="183" t="s">
        <v>239</v>
      </c>
      <c r="B20" s="98" t="s">
        <v>240</v>
      </c>
      <c r="C20" s="40" t="s">
        <v>355</v>
      </c>
      <c r="D20" s="40" t="s">
        <v>332</v>
      </c>
      <c r="E20" s="38">
        <v>1</v>
      </c>
      <c r="F20" s="38">
        <v>2</v>
      </c>
      <c r="G20" s="91">
        <f t="shared" si="0"/>
        <v>2</v>
      </c>
      <c r="H20" s="40" t="s">
        <v>354</v>
      </c>
      <c r="I20" s="73" t="s">
        <v>206</v>
      </c>
      <c r="J20" s="104">
        <f t="shared" si="2"/>
        <v>1.4</v>
      </c>
      <c r="K20" s="92" t="s">
        <v>199</v>
      </c>
      <c r="L20" s="25"/>
    </row>
    <row r="21" spans="1:12" ht="39" customHeight="1" x14ac:dyDescent="0.2">
      <c r="A21" s="206"/>
      <c r="B21" s="39" t="s">
        <v>241</v>
      </c>
      <c r="C21" s="115" t="s">
        <v>357</v>
      </c>
      <c r="D21" s="112" t="s">
        <v>257</v>
      </c>
      <c r="E21" s="113" t="s">
        <v>258</v>
      </c>
      <c r="F21" s="113" t="s">
        <v>258</v>
      </c>
      <c r="G21" s="114">
        <f t="shared" si="0"/>
        <v>0</v>
      </c>
      <c r="H21" s="115"/>
      <c r="I21" s="116"/>
      <c r="J21" s="117">
        <f t="shared" si="2"/>
        <v>0</v>
      </c>
      <c r="K21" s="118" t="s">
        <v>199</v>
      </c>
      <c r="L21" s="119"/>
    </row>
    <row r="22" spans="1:12" ht="75.75" customHeight="1" x14ac:dyDescent="0.2">
      <c r="A22" s="184"/>
      <c r="B22" s="94" t="s">
        <v>246</v>
      </c>
      <c r="C22" s="40" t="s">
        <v>275</v>
      </c>
      <c r="D22" s="40" t="s">
        <v>283</v>
      </c>
      <c r="E22" s="38">
        <v>1</v>
      </c>
      <c r="F22" s="38">
        <v>4</v>
      </c>
      <c r="G22" s="134">
        <v>4</v>
      </c>
      <c r="H22" s="40" t="s">
        <v>356</v>
      </c>
      <c r="I22" s="73" t="s">
        <v>204</v>
      </c>
      <c r="J22" s="104">
        <f t="shared" si="2"/>
        <v>0.2</v>
      </c>
      <c r="K22" s="92" t="s">
        <v>199</v>
      </c>
      <c r="L22" s="25"/>
    </row>
    <row r="23" spans="1:12" ht="124.5" customHeight="1" x14ac:dyDescent="0.2">
      <c r="A23" s="185" t="s">
        <v>277</v>
      </c>
      <c r="B23" s="39" t="s">
        <v>242</v>
      </c>
      <c r="C23" s="40" t="s">
        <v>271</v>
      </c>
      <c r="D23" s="40" t="s">
        <v>388</v>
      </c>
      <c r="E23" s="38">
        <v>1</v>
      </c>
      <c r="F23" s="38">
        <v>2</v>
      </c>
      <c r="G23" s="91">
        <f t="shared" si="0"/>
        <v>2</v>
      </c>
      <c r="H23" s="40" t="s">
        <v>390</v>
      </c>
      <c r="I23" s="73" t="s">
        <v>206</v>
      </c>
      <c r="J23" s="104">
        <f t="shared" si="2"/>
        <v>1.4</v>
      </c>
      <c r="K23" s="92" t="s">
        <v>199</v>
      </c>
      <c r="L23" s="108"/>
    </row>
    <row r="24" spans="1:12" ht="49.5" customHeight="1" x14ac:dyDescent="0.2">
      <c r="A24" s="186"/>
      <c r="B24" s="39" t="s">
        <v>243</v>
      </c>
      <c r="C24" s="40" t="s">
        <v>279</v>
      </c>
      <c r="D24" s="40" t="s">
        <v>259</v>
      </c>
      <c r="E24" s="38">
        <v>1</v>
      </c>
      <c r="F24" s="38">
        <v>2</v>
      </c>
      <c r="G24" s="91">
        <f t="shared" si="0"/>
        <v>2</v>
      </c>
      <c r="H24" s="40" t="s">
        <v>260</v>
      </c>
      <c r="I24" s="73"/>
      <c r="J24" s="104" t="s">
        <v>253</v>
      </c>
      <c r="K24" s="92" t="s">
        <v>199</v>
      </c>
      <c r="L24" s="26"/>
    </row>
    <row r="25" spans="1:12" ht="49.5" customHeight="1" x14ac:dyDescent="0.2">
      <c r="A25" s="187"/>
      <c r="B25" s="107" t="s">
        <v>278</v>
      </c>
      <c r="C25" s="40" t="s">
        <v>280</v>
      </c>
      <c r="D25" s="40" t="s">
        <v>295</v>
      </c>
      <c r="E25" s="38">
        <v>1</v>
      </c>
      <c r="F25" s="38">
        <v>2</v>
      </c>
      <c r="G25" s="91">
        <f t="shared" si="0"/>
        <v>2</v>
      </c>
      <c r="H25" s="40"/>
      <c r="I25" s="73" t="s">
        <v>206</v>
      </c>
      <c r="J25" s="104">
        <f t="shared" si="2"/>
        <v>1.4</v>
      </c>
      <c r="K25" s="92" t="s">
        <v>199</v>
      </c>
      <c r="L25" s="25" t="s">
        <v>296</v>
      </c>
    </row>
    <row r="26" spans="1:12" ht="76.5" customHeight="1" x14ac:dyDescent="0.2">
      <c r="A26" s="95" t="s">
        <v>250</v>
      </c>
      <c r="B26" s="101" t="s">
        <v>251</v>
      </c>
      <c r="C26" s="40" t="s">
        <v>282</v>
      </c>
      <c r="D26" s="40" t="s">
        <v>293</v>
      </c>
      <c r="E26" s="38">
        <v>1</v>
      </c>
      <c r="F26" s="38">
        <v>2</v>
      </c>
      <c r="G26" s="91">
        <f t="shared" si="0"/>
        <v>2</v>
      </c>
      <c r="H26" s="68" t="s">
        <v>370</v>
      </c>
      <c r="I26" s="73" t="s">
        <v>204</v>
      </c>
      <c r="J26" s="104">
        <f t="shared" si="1"/>
        <v>0.1</v>
      </c>
      <c r="K26" s="92" t="s">
        <v>199</v>
      </c>
      <c r="L26" s="26"/>
    </row>
    <row r="27" spans="1:12" ht="91.5" customHeight="1" x14ac:dyDescent="0.2">
      <c r="A27" s="172" t="s">
        <v>248</v>
      </c>
      <c r="B27" s="101" t="s">
        <v>349</v>
      </c>
      <c r="C27" s="40" t="s">
        <v>360</v>
      </c>
      <c r="D27" s="40" t="s">
        <v>371</v>
      </c>
      <c r="E27" s="38">
        <v>4</v>
      </c>
      <c r="F27" s="38">
        <v>2</v>
      </c>
      <c r="G27" s="89">
        <f t="shared" si="0"/>
        <v>8</v>
      </c>
      <c r="H27" s="68" t="s">
        <v>378</v>
      </c>
      <c r="I27" s="73" t="s">
        <v>206</v>
      </c>
      <c r="J27" s="139">
        <f>(G27*I27)</f>
        <v>5.6</v>
      </c>
      <c r="K27" s="136" t="s">
        <v>53</v>
      </c>
      <c r="L27" s="25" t="s">
        <v>379</v>
      </c>
    </row>
    <row r="28" spans="1:12" ht="72.75" customHeight="1" x14ac:dyDescent="0.2">
      <c r="A28" s="172"/>
      <c r="B28" s="39" t="s">
        <v>386</v>
      </c>
      <c r="C28" s="40" t="s">
        <v>369</v>
      </c>
      <c r="D28" s="40" t="s">
        <v>284</v>
      </c>
      <c r="E28" s="38">
        <v>1</v>
      </c>
      <c r="F28" s="38">
        <v>4</v>
      </c>
      <c r="G28" s="134">
        <f t="shared" si="0"/>
        <v>4</v>
      </c>
      <c r="H28" s="140" t="s">
        <v>494</v>
      </c>
      <c r="I28" s="73" t="s">
        <v>203</v>
      </c>
      <c r="J28" s="104">
        <f t="shared" si="1"/>
        <v>1.2</v>
      </c>
      <c r="K28" s="92" t="s">
        <v>199</v>
      </c>
      <c r="L28" s="25" t="s">
        <v>499</v>
      </c>
    </row>
    <row r="29" spans="1:12" ht="195" customHeight="1" x14ac:dyDescent="0.2">
      <c r="A29" s="172"/>
      <c r="B29" s="39" t="s">
        <v>0</v>
      </c>
      <c r="C29" s="40" t="s">
        <v>305</v>
      </c>
      <c r="D29" s="40" t="s">
        <v>383</v>
      </c>
      <c r="E29" s="38">
        <v>1</v>
      </c>
      <c r="F29" s="38">
        <v>4</v>
      </c>
      <c r="G29" s="134">
        <v>4</v>
      </c>
      <c r="H29" s="40" t="s">
        <v>384</v>
      </c>
      <c r="I29" s="73" t="s">
        <v>203</v>
      </c>
      <c r="J29" s="104">
        <f t="shared" si="1"/>
        <v>1.2</v>
      </c>
      <c r="K29" s="92" t="s">
        <v>199</v>
      </c>
      <c r="L29" s="69" t="s">
        <v>385</v>
      </c>
    </row>
    <row r="30" spans="1:12" ht="103.5" customHeight="1" x14ac:dyDescent="0.2">
      <c r="A30" s="172"/>
      <c r="B30" s="39" t="s">
        <v>247</v>
      </c>
      <c r="C30" s="40" t="s">
        <v>290</v>
      </c>
      <c r="D30" s="40" t="s">
        <v>291</v>
      </c>
      <c r="E30" s="38">
        <v>1</v>
      </c>
      <c r="F30" s="38">
        <v>4</v>
      </c>
      <c r="G30" s="134">
        <f t="shared" si="0"/>
        <v>4</v>
      </c>
      <c r="H30" s="40" t="s">
        <v>359</v>
      </c>
      <c r="I30" s="73" t="s">
        <v>206</v>
      </c>
      <c r="J30" s="104">
        <f t="shared" si="1"/>
        <v>2.8</v>
      </c>
      <c r="K30" s="92" t="s">
        <v>199</v>
      </c>
      <c r="L30" s="71"/>
    </row>
    <row r="31" spans="1:12" ht="135.75" customHeight="1" x14ac:dyDescent="0.2">
      <c r="A31" s="172"/>
      <c r="B31" s="39" t="s">
        <v>261</v>
      </c>
      <c r="C31" s="40" t="s">
        <v>262</v>
      </c>
      <c r="D31" s="40" t="s">
        <v>285</v>
      </c>
      <c r="E31" s="38">
        <v>4</v>
      </c>
      <c r="F31" s="38">
        <v>2</v>
      </c>
      <c r="G31" s="89">
        <f t="shared" si="0"/>
        <v>8</v>
      </c>
      <c r="H31" s="40" t="s">
        <v>368</v>
      </c>
      <c r="I31" s="73" t="s">
        <v>203</v>
      </c>
      <c r="J31" s="104">
        <f t="shared" si="1"/>
        <v>2.4</v>
      </c>
      <c r="K31" s="92" t="s">
        <v>199</v>
      </c>
      <c r="L31" s="71" t="s">
        <v>292</v>
      </c>
    </row>
    <row r="32" spans="1:12" ht="82.5" customHeight="1" x14ac:dyDescent="0.2">
      <c r="A32" s="172"/>
      <c r="B32" s="207" t="s">
        <v>249</v>
      </c>
      <c r="C32" s="40" t="s">
        <v>286</v>
      </c>
      <c r="D32" s="44" t="s">
        <v>287</v>
      </c>
      <c r="E32" s="38">
        <v>4</v>
      </c>
      <c r="F32" s="38">
        <v>1</v>
      </c>
      <c r="G32" s="134">
        <f t="shared" si="0"/>
        <v>4</v>
      </c>
      <c r="H32" s="40" t="s">
        <v>367</v>
      </c>
      <c r="I32" s="73" t="s">
        <v>206</v>
      </c>
      <c r="J32" s="104">
        <f t="shared" si="1"/>
        <v>2.8</v>
      </c>
      <c r="K32" s="92" t="s">
        <v>199</v>
      </c>
      <c r="L32" s="25" t="s">
        <v>485</v>
      </c>
    </row>
    <row r="33" spans="1:12" ht="129.94999999999999" customHeight="1" x14ac:dyDescent="0.2">
      <c r="A33" s="172"/>
      <c r="B33" s="208"/>
      <c r="C33" s="40" t="s">
        <v>381</v>
      </c>
      <c r="D33" s="40" t="s">
        <v>382</v>
      </c>
      <c r="E33" s="38">
        <v>1</v>
      </c>
      <c r="F33" s="38">
        <v>4</v>
      </c>
      <c r="G33" s="134">
        <f t="shared" si="0"/>
        <v>4</v>
      </c>
      <c r="H33" s="40" t="s">
        <v>389</v>
      </c>
      <c r="I33" s="73" t="s">
        <v>206</v>
      </c>
      <c r="J33" s="104">
        <f t="shared" si="1"/>
        <v>2.8</v>
      </c>
      <c r="K33" s="92" t="s">
        <v>199</v>
      </c>
      <c r="L33" s="137" t="s">
        <v>486</v>
      </c>
    </row>
    <row r="34" spans="1:12" ht="74.25" customHeight="1" x14ac:dyDescent="0.2">
      <c r="A34" s="172"/>
      <c r="B34" s="105" t="s">
        <v>252</v>
      </c>
      <c r="C34" s="40" t="s">
        <v>272</v>
      </c>
      <c r="D34" s="40" t="s">
        <v>288</v>
      </c>
      <c r="E34" s="38">
        <v>1</v>
      </c>
      <c r="F34" s="38">
        <v>2</v>
      </c>
      <c r="G34" s="91">
        <f t="shared" si="0"/>
        <v>2</v>
      </c>
      <c r="H34" s="40" t="s">
        <v>289</v>
      </c>
      <c r="I34" s="73" t="s">
        <v>204</v>
      </c>
      <c r="J34" s="104">
        <f t="shared" si="1"/>
        <v>0.1</v>
      </c>
      <c r="K34" s="92" t="s">
        <v>199</v>
      </c>
      <c r="L34" s="39"/>
    </row>
    <row r="35" spans="1:12" ht="73.5" customHeight="1" x14ac:dyDescent="0.2">
      <c r="A35" s="172"/>
      <c r="B35" s="105" t="s">
        <v>263</v>
      </c>
      <c r="C35" s="40" t="s">
        <v>297</v>
      </c>
      <c r="D35" s="40" t="s">
        <v>298</v>
      </c>
      <c r="E35" s="38">
        <v>1</v>
      </c>
      <c r="F35" s="38">
        <v>2</v>
      </c>
      <c r="G35" s="91">
        <f t="shared" si="0"/>
        <v>2</v>
      </c>
      <c r="H35" s="40" t="s">
        <v>299</v>
      </c>
      <c r="I35" s="73" t="s">
        <v>203</v>
      </c>
      <c r="J35" s="104">
        <f t="shared" si="1"/>
        <v>0.6</v>
      </c>
      <c r="K35" s="92" t="s">
        <v>199</v>
      </c>
      <c r="L35" s="25"/>
    </row>
    <row r="36" spans="1:12" x14ac:dyDescent="0.2">
      <c r="B36" s="1"/>
      <c r="C36" s="1"/>
      <c r="D36" s="1"/>
      <c r="E36" s="10"/>
      <c r="F36" s="10"/>
      <c r="G36" s="10"/>
      <c r="H36" s="10"/>
      <c r="I36" s="10"/>
      <c r="J36" s="10"/>
      <c r="K36" s="14"/>
    </row>
    <row r="37" spans="1:12" x14ac:dyDescent="0.2">
      <c r="B37" s="1"/>
      <c r="C37" s="1"/>
      <c r="D37" s="1"/>
      <c r="E37" s="10"/>
      <c r="F37" s="10"/>
      <c r="G37" s="10"/>
      <c r="H37" s="10"/>
      <c r="I37" s="10"/>
      <c r="J37" s="10"/>
      <c r="K37" s="14"/>
    </row>
    <row r="38" spans="1:12" x14ac:dyDescent="0.2">
      <c r="B38" s="1"/>
      <c r="C38" s="1"/>
      <c r="D38" s="1"/>
      <c r="E38" s="10"/>
      <c r="F38" s="10"/>
      <c r="G38" s="10"/>
      <c r="H38" s="10"/>
      <c r="I38" s="10"/>
      <c r="J38" s="10"/>
      <c r="K38" s="14"/>
    </row>
    <row r="39" spans="1:12" x14ac:dyDescent="0.2">
      <c r="B39" s="1"/>
      <c r="C39" s="1"/>
      <c r="D39" s="1"/>
      <c r="E39" s="10"/>
      <c r="F39" s="10"/>
      <c r="G39" s="10"/>
      <c r="H39" s="10"/>
      <c r="I39" s="10"/>
      <c r="J39" s="10"/>
      <c r="K39" s="14"/>
    </row>
    <row r="40" spans="1:12" x14ac:dyDescent="0.2">
      <c r="B40" s="1"/>
      <c r="C40" s="1"/>
      <c r="D40" s="1"/>
      <c r="E40" s="1"/>
      <c r="F40" s="1"/>
      <c r="G40" s="1"/>
      <c r="H40" s="1"/>
      <c r="I40" s="1"/>
      <c r="J40" s="1"/>
      <c r="K40" s="14"/>
    </row>
    <row r="41" spans="1:12" x14ac:dyDescent="0.2">
      <c r="B41" s="1"/>
      <c r="C41" s="1"/>
      <c r="D41" s="1"/>
      <c r="E41" s="1"/>
      <c r="F41" s="1"/>
      <c r="G41" s="1"/>
      <c r="H41" s="1"/>
      <c r="I41" s="1"/>
      <c r="J41" s="1"/>
      <c r="K41" s="14"/>
    </row>
    <row r="42" spans="1:12" x14ac:dyDescent="0.2">
      <c r="B42" s="1"/>
      <c r="C42" s="1"/>
      <c r="D42" s="1"/>
      <c r="E42" s="1"/>
      <c r="F42" s="1"/>
      <c r="G42" s="1"/>
      <c r="H42" s="1"/>
      <c r="I42" s="1"/>
      <c r="J42" s="1"/>
      <c r="K42" s="14"/>
    </row>
    <row r="43" spans="1:12" x14ac:dyDescent="0.2">
      <c r="B43" s="1"/>
      <c r="C43" s="1"/>
      <c r="D43" s="1"/>
      <c r="E43" s="1"/>
      <c r="F43" s="1"/>
      <c r="G43" s="1"/>
      <c r="H43" s="1"/>
      <c r="I43" s="1"/>
      <c r="J43" s="1"/>
      <c r="K43" s="14"/>
    </row>
    <row r="44" spans="1:12" x14ac:dyDescent="0.2">
      <c r="B44" s="1"/>
      <c r="C44" s="1"/>
      <c r="D44" s="1"/>
      <c r="E44" s="1"/>
      <c r="F44" s="1"/>
      <c r="G44" s="1"/>
      <c r="H44" s="1"/>
      <c r="I44" s="1"/>
      <c r="J44" s="1"/>
      <c r="K44" s="14"/>
    </row>
    <row r="45" spans="1:12" x14ac:dyDescent="0.2">
      <c r="B45" s="1"/>
      <c r="C45" s="1"/>
      <c r="D45" s="1"/>
      <c r="E45" s="1"/>
      <c r="F45" s="1"/>
      <c r="G45" s="1"/>
      <c r="H45" s="1"/>
      <c r="I45" s="1"/>
      <c r="J45" s="1"/>
      <c r="K45" s="14"/>
    </row>
    <row r="46" spans="1:12" x14ac:dyDescent="0.2">
      <c r="B46" s="1"/>
      <c r="C46" s="1"/>
      <c r="D46" s="1"/>
      <c r="E46" s="1"/>
      <c r="F46" s="1"/>
      <c r="G46" s="1"/>
      <c r="H46" s="1"/>
      <c r="I46" s="1"/>
      <c r="J46" s="1"/>
      <c r="K46" s="14"/>
    </row>
    <row r="47" spans="1:12" x14ac:dyDescent="0.2">
      <c r="B47" s="1"/>
      <c r="C47" s="1"/>
      <c r="D47" s="1"/>
      <c r="E47" s="1"/>
      <c r="F47" s="1"/>
      <c r="G47" s="1"/>
      <c r="H47" s="1"/>
      <c r="I47" s="1"/>
      <c r="J47" s="1"/>
      <c r="K47" s="14"/>
    </row>
    <row r="48" spans="1:12" ht="12.75" customHeight="1" x14ac:dyDescent="0.2">
      <c r="E48" s="1"/>
      <c r="F48" s="1"/>
      <c r="G48" s="1"/>
      <c r="H48" s="1"/>
      <c r="I48" s="1"/>
      <c r="J48" s="1"/>
    </row>
    <row r="49" spans="5:10" x14ac:dyDescent="0.2">
      <c r="E49" s="1"/>
      <c r="F49" s="1"/>
      <c r="G49" s="1"/>
      <c r="H49" s="1"/>
      <c r="I49" s="1"/>
      <c r="J49" s="1"/>
    </row>
    <row r="54" spans="5:10" ht="12.75" customHeight="1" x14ac:dyDescent="0.2"/>
  </sheetData>
  <autoFilter ref="B9:L35" xr:uid="{00000000-0009-0000-0000-000003000000}"/>
  <mergeCells count="21">
    <mergeCell ref="A10:A17"/>
    <mergeCell ref="B10:B11"/>
    <mergeCell ref="H6:J6"/>
    <mergeCell ref="B7:B9"/>
    <mergeCell ref="C7:C9"/>
    <mergeCell ref="D7:D9"/>
    <mergeCell ref="E7:E8"/>
    <mergeCell ref="F7:F8"/>
    <mergeCell ref="G7:G8"/>
    <mergeCell ref="A20:A22"/>
    <mergeCell ref="A23:A25"/>
    <mergeCell ref="A27:A35"/>
    <mergeCell ref="B32:B33"/>
    <mergeCell ref="A18:A19"/>
    <mergeCell ref="L7:L9"/>
    <mergeCell ref="A1:B4"/>
    <mergeCell ref="C1:H4"/>
    <mergeCell ref="H7:H9"/>
    <mergeCell ref="I7:I8"/>
    <mergeCell ref="J7:J8"/>
    <mergeCell ref="K7:K9"/>
  </mergeCells>
  <conditionalFormatting sqref="E21:F21">
    <cfRule type="cellIs" dxfId="19" priority="53" stopIfTrue="1" operator="equal">
      <formula>"Critique"</formula>
    </cfRule>
    <cfRule type="cellIs" dxfId="18" priority="54" stopIfTrue="1" operator="equal">
      <formula>"A évaluer"</formula>
    </cfRule>
    <cfRule type="cellIs" dxfId="17" priority="55" stopIfTrue="1" operator="equal">
      <formula>"Non critique"</formula>
    </cfRule>
  </conditionalFormatting>
  <conditionalFormatting sqref="F10:F20">
    <cfRule type="cellIs" dxfId="16" priority="39" stopIfTrue="1" operator="equal">
      <formula>5</formula>
    </cfRule>
  </conditionalFormatting>
  <conditionalFormatting sqref="F22:F35">
    <cfRule type="cellIs" dxfId="15" priority="77" stopIfTrue="1" operator="equal">
      <formula>5</formula>
    </cfRule>
  </conditionalFormatting>
  <conditionalFormatting sqref="G10:G35">
    <cfRule type="cellIs" dxfId="14" priority="14" stopIfTrue="1" operator="equal">
      <formula>"Critique"</formula>
    </cfRule>
    <cfRule type="cellIs" dxfId="13" priority="15" stopIfTrue="1" operator="equal">
      <formula>"A évaluer"</formula>
    </cfRule>
    <cfRule type="cellIs" dxfId="12" priority="16" stopIfTrue="1" operator="equal">
      <formula>"Non critique"</formula>
    </cfRule>
  </conditionalFormatting>
  <conditionalFormatting sqref="J10:J35">
    <cfRule type="cellIs" dxfId="11" priority="1" stopIfTrue="1" operator="equal">
      <formula>"Critique"</formula>
    </cfRule>
    <cfRule type="cellIs" dxfId="10" priority="2" stopIfTrue="1" operator="equal">
      <formula>"A évaluer"</formula>
    </cfRule>
    <cfRule type="cellIs" dxfId="9" priority="3" stopIfTrue="1" operator="equal">
      <formula>"Non critique"</formula>
    </cfRule>
  </conditionalFormatting>
  <pageMargins left="0.15748031496062992" right="0.15748031496062992" top="0.35433070866141736" bottom="0.23622047244094491" header="0.19685039370078741" footer="0.15748031496062992"/>
  <pageSetup paperSize="8" scale="47" fitToHeight="2" orientation="landscape" r:id="rId1"/>
  <headerFooter alignWithMargins="0"/>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M81"/>
  <sheetViews>
    <sheetView showGridLines="0" tabSelected="1" zoomScale="70" zoomScaleNormal="70" zoomScaleSheetLayoutView="70" workbookViewId="0">
      <pane xSplit="1" ySplit="9" topLeftCell="B15" activePane="bottomRight" state="frozen"/>
      <selection activeCell="A8" sqref="A8"/>
      <selection pane="topRight" activeCell="B8" sqref="B8"/>
      <selection pane="bottomLeft" activeCell="A12" sqref="A12"/>
      <selection pane="bottomRight" activeCell="C17" sqref="C17"/>
    </sheetView>
  </sheetViews>
  <sheetFormatPr baseColWidth="10" defaultColWidth="10.85546875" defaultRowHeight="12.75" x14ac:dyDescent="0.2"/>
  <cols>
    <col min="1" max="1" width="16.85546875" style="4" customWidth="1"/>
    <col min="2" max="2" width="21.42578125" customWidth="1"/>
    <col min="3" max="3" width="42" customWidth="1"/>
    <col min="4" max="4" width="44.85546875" customWidth="1"/>
    <col min="5" max="7" width="6.7109375" style="3" customWidth="1"/>
    <col min="8" max="8" width="46.5703125" style="3" customWidth="1"/>
    <col min="9" max="10" width="8.5703125" style="3" customWidth="1"/>
    <col min="11" max="11" width="16" customWidth="1"/>
    <col min="12" max="12" width="44" style="14" customWidth="1"/>
  </cols>
  <sheetData>
    <row r="1" spans="1:13" x14ac:dyDescent="0.2">
      <c r="C1" s="154" t="s">
        <v>472</v>
      </c>
      <c r="D1" s="154"/>
      <c r="E1" s="154"/>
      <c r="F1" s="154"/>
      <c r="G1" s="154"/>
      <c r="H1" s="154"/>
      <c r="J1" s="149"/>
      <c r="K1" s="63" t="s">
        <v>200</v>
      </c>
      <c r="L1"/>
      <c r="M1" s="24" t="s">
        <v>482</v>
      </c>
    </row>
    <row r="2" spans="1:13" x14ac:dyDescent="0.2">
      <c r="C2" s="154"/>
      <c r="D2" s="154"/>
      <c r="E2" s="154"/>
      <c r="F2" s="154"/>
      <c r="G2" s="154"/>
      <c r="H2" s="154"/>
      <c r="J2" s="135"/>
      <c r="K2" s="63" t="s">
        <v>201</v>
      </c>
      <c r="L2"/>
      <c r="M2" s="4" t="s">
        <v>495</v>
      </c>
    </row>
    <row r="3" spans="1:13" x14ac:dyDescent="0.2">
      <c r="C3" s="154"/>
      <c r="D3" s="154"/>
      <c r="E3" s="154"/>
      <c r="F3" s="154"/>
      <c r="G3" s="154"/>
      <c r="H3" s="154"/>
      <c r="J3" s="148"/>
      <c r="K3" s="63" t="s">
        <v>202</v>
      </c>
      <c r="L3"/>
      <c r="M3" s="4" t="s">
        <v>496</v>
      </c>
    </row>
    <row r="4" spans="1:13" x14ac:dyDescent="0.2">
      <c r="C4" s="154"/>
      <c r="D4" s="154"/>
      <c r="E4" s="154"/>
      <c r="F4" s="154"/>
      <c r="G4" s="154"/>
      <c r="H4" s="154"/>
      <c r="J4" s="75"/>
      <c r="K4" s="63"/>
      <c r="L4"/>
    </row>
    <row r="5" spans="1:13" x14ac:dyDescent="0.2">
      <c r="J5" s="76" t="s">
        <v>210</v>
      </c>
      <c r="K5" s="63"/>
      <c r="L5"/>
    </row>
    <row r="6" spans="1:13" ht="15" customHeight="1" x14ac:dyDescent="0.2">
      <c r="G6" s="11"/>
      <c r="H6" s="193"/>
      <c r="I6" s="193"/>
      <c r="J6" s="193"/>
      <c r="K6" s="14"/>
      <c r="L6" s="63"/>
    </row>
    <row r="7" spans="1:13" ht="12.75" customHeight="1" x14ac:dyDescent="0.2">
      <c r="A7" s="194" t="s">
        <v>119</v>
      </c>
      <c r="B7" s="194"/>
      <c r="C7" s="197" t="s">
        <v>510</v>
      </c>
      <c r="D7" s="197" t="s">
        <v>66</v>
      </c>
      <c r="E7" s="200" t="s">
        <v>51</v>
      </c>
      <c r="F7" s="202" t="s">
        <v>49</v>
      </c>
      <c r="G7" s="209" t="s">
        <v>223</v>
      </c>
      <c r="H7" s="179" t="s">
        <v>69</v>
      </c>
      <c r="I7" s="202" t="s">
        <v>171</v>
      </c>
      <c r="J7" s="204" t="s">
        <v>173</v>
      </c>
      <c r="K7" s="176" t="s">
        <v>64</v>
      </c>
      <c r="L7" s="179" t="s">
        <v>65</v>
      </c>
    </row>
    <row r="8" spans="1:13" ht="12.75" customHeight="1" x14ac:dyDescent="0.2">
      <c r="A8" s="195"/>
      <c r="B8" s="195"/>
      <c r="C8" s="198"/>
      <c r="D8" s="198"/>
      <c r="E8" s="201"/>
      <c r="F8" s="203"/>
      <c r="G8" s="210"/>
      <c r="H8" s="180"/>
      <c r="I8" s="203"/>
      <c r="J8" s="205"/>
      <c r="K8" s="177"/>
      <c r="L8" s="180"/>
    </row>
    <row r="9" spans="1:13" ht="25.5" x14ac:dyDescent="0.2">
      <c r="A9" s="196"/>
      <c r="B9" s="196"/>
      <c r="C9" s="199"/>
      <c r="D9" s="199"/>
      <c r="E9" s="12" t="s">
        <v>52</v>
      </c>
      <c r="F9" s="13" t="s">
        <v>50</v>
      </c>
      <c r="G9" s="142" t="s">
        <v>170</v>
      </c>
      <c r="H9" s="181"/>
      <c r="I9" s="45" t="s">
        <v>48</v>
      </c>
      <c r="J9" s="45" t="s">
        <v>509</v>
      </c>
      <c r="K9" s="178"/>
      <c r="L9" s="181"/>
    </row>
    <row r="10" spans="1:13" s="66" customFormat="1" ht="79.5" customHeight="1" x14ac:dyDescent="0.2">
      <c r="A10" s="150" t="s">
        <v>67</v>
      </c>
      <c r="B10" s="64" t="s">
        <v>68</v>
      </c>
      <c r="C10" s="141" t="s">
        <v>500</v>
      </c>
      <c r="D10" s="64" t="s">
        <v>582</v>
      </c>
      <c r="E10" s="38">
        <v>1</v>
      </c>
      <c r="F10" s="38">
        <v>2</v>
      </c>
      <c r="G10" s="90">
        <f>(E10*F10)</f>
        <v>2</v>
      </c>
      <c r="H10" s="67" t="s">
        <v>501</v>
      </c>
      <c r="I10" s="147">
        <v>0.05</v>
      </c>
      <c r="J10" s="144">
        <f>G10*I10</f>
        <v>0.1</v>
      </c>
      <c r="K10" s="93" t="str">
        <f>IF(J10&lt;3,("Non Critique"),IF(J10&gt;8,"Très critique",IF(J10&gt;3,("Critique"))))</f>
        <v>Non Critique</v>
      </c>
      <c r="L10" s="67" t="s">
        <v>511</v>
      </c>
    </row>
    <row r="11" spans="1:13" ht="69" customHeight="1" x14ac:dyDescent="0.2">
      <c r="A11" s="150"/>
      <c r="B11" s="25" t="s">
        <v>512</v>
      </c>
      <c r="C11" s="40" t="s">
        <v>502</v>
      </c>
      <c r="D11" s="40" t="s">
        <v>503</v>
      </c>
      <c r="E11" s="38">
        <v>1</v>
      </c>
      <c r="F11" s="38">
        <v>4</v>
      </c>
      <c r="G11" s="90">
        <f t="shared" ref="G11:G62" si="0">(E11*F11)</f>
        <v>4</v>
      </c>
      <c r="H11" s="94" t="s">
        <v>504</v>
      </c>
      <c r="I11" s="147">
        <v>0.3</v>
      </c>
      <c r="J11" s="144">
        <f t="shared" ref="J11:J62" si="1">G11*I11</f>
        <v>1.2</v>
      </c>
      <c r="K11" s="93" t="str">
        <f t="shared" ref="K11:K62" si="2">IF(J11&lt;3,("Non Critique"),IF(J11&gt;8,"Très critique",IF(J11&gt;3,("Critique"))))</f>
        <v>Non Critique</v>
      </c>
      <c r="L11" s="94"/>
    </row>
    <row r="12" spans="1:13" ht="93.75" customHeight="1" x14ac:dyDescent="0.2">
      <c r="A12" s="150"/>
      <c r="B12" s="70" t="s">
        <v>0</v>
      </c>
      <c r="C12" s="40" t="s">
        <v>513</v>
      </c>
      <c r="D12" s="40" t="s">
        <v>514</v>
      </c>
      <c r="E12" s="38">
        <v>1</v>
      </c>
      <c r="F12" s="38">
        <v>4</v>
      </c>
      <c r="G12" s="90">
        <f t="shared" si="0"/>
        <v>4</v>
      </c>
      <c r="H12" s="40" t="s">
        <v>515</v>
      </c>
      <c r="I12" s="147">
        <v>0.3</v>
      </c>
      <c r="J12" s="144">
        <f t="shared" si="1"/>
        <v>1.2</v>
      </c>
      <c r="K12" s="93" t="str">
        <f t="shared" si="2"/>
        <v>Non Critique</v>
      </c>
      <c r="L12" s="25"/>
    </row>
    <row r="13" spans="1:13" ht="83.1" customHeight="1" x14ac:dyDescent="0.2">
      <c r="A13" s="150"/>
      <c r="B13" s="25" t="s">
        <v>120</v>
      </c>
      <c r="C13" s="25" t="s">
        <v>516</v>
      </c>
      <c r="D13" s="40" t="s">
        <v>517</v>
      </c>
      <c r="E13" s="38">
        <v>1</v>
      </c>
      <c r="F13" s="38">
        <v>4</v>
      </c>
      <c r="G13" s="90">
        <f t="shared" si="0"/>
        <v>4</v>
      </c>
      <c r="H13" s="40" t="s">
        <v>505</v>
      </c>
      <c r="I13" s="143">
        <v>0.3</v>
      </c>
      <c r="J13" s="144">
        <f t="shared" si="1"/>
        <v>1.2</v>
      </c>
      <c r="K13" s="93" t="str">
        <f t="shared" si="2"/>
        <v>Non Critique</v>
      </c>
      <c r="L13" s="25"/>
    </row>
    <row r="14" spans="1:13" ht="68.099999999999994" customHeight="1" x14ac:dyDescent="0.2">
      <c r="A14" s="150"/>
      <c r="B14" s="25" t="s">
        <v>71</v>
      </c>
      <c r="C14" s="40" t="s">
        <v>72</v>
      </c>
      <c r="D14" s="40" t="s">
        <v>518</v>
      </c>
      <c r="E14" s="38">
        <v>1</v>
      </c>
      <c r="F14" s="38">
        <v>4</v>
      </c>
      <c r="G14" s="90">
        <f t="shared" si="0"/>
        <v>4</v>
      </c>
      <c r="H14" s="40" t="s">
        <v>519</v>
      </c>
      <c r="I14" s="143">
        <v>0.3</v>
      </c>
      <c r="J14" s="144">
        <f t="shared" si="1"/>
        <v>1.2</v>
      </c>
      <c r="K14" s="93" t="str">
        <f t="shared" si="2"/>
        <v>Non Critique</v>
      </c>
      <c r="L14" s="25" t="s">
        <v>520</v>
      </c>
    </row>
    <row r="15" spans="1:13" ht="177.6" customHeight="1" x14ac:dyDescent="0.2">
      <c r="A15" s="185" t="s">
        <v>209</v>
      </c>
      <c r="B15" s="70" t="s">
        <v>208</v>
      </c>
      <c r="C15" s="40" t="s">
        <v>521</v>
      </c>
      <c r="D15" s="40" t="s">
        <v>522</v>
      </c>
      <c r="E15" s="38">
        <v>1</v>
      </c>
      <c r="F15" s="38">
        <v>4</v>
      </c>
      <c r="G15" s="90">
        <f>(E15*F15)</f>
        <v>4</v>
      </c>
      <c r="H15" s="40" t="s">
        <v>523</v>
      </c>
      <c r="I15" s="143">
        <v>0.3</v>
      </c>
      <c r="J15" s="144">
        <f t="shared" si="1"/>
        <v>1.2</v>
      </c>
      <c r="K15" s="93" t="str">
        <f t="shared" si="2"/>
        <v>Non Critique</v>
      </c>
      <c r="L15" s="71" t="s">
        <v>524</v>
      </c>
    </row>
    <row r="16" spans="1:13" ht="139.9" customHeight="1" x14ac:dyDescent="0.2">
      <c r="A16" s="186"/>
      <c r="B16" s="70" t="s">
        <v>525</v>
      </c>
      <c r="C16" s="40" t="s">
        <v>526</v>
      </c>
      <c r="D16" s="40" t="s">
        <v>527</v>
      </c>
      <c r="E16" s="38">
        <v>4</v>
      </c>
      <c r="F16" s="38">
        <v>4</v>
      </c>
      <c r="G16" s="90">
        <f t="shared" si="0"/>
        <v>16</v>
      </c>
      <c r="H16" s="40" t="s">
        <v>528</v>
      </c>
      <c r="I16" s="143">
        <v>0.3</v>
      </c>
      <c r="J16" s="144">
        <f t="shared" si="1"/>
        <v>4.8</v>
      </c>
      <c r="K16" s="93" t="str">
        <f t="shared" si="2"/>
        <v>Critique</v>
      </c>
      <c r="L16" s="25" t="s">
        <v>613</v>
      </c>
    </row>
    <row r="17" spans="1:12" ht="86.1" customHeight="1" x14ac:dyDescent="0.2">
      <c r="A17" s="187"/>
      <c r="B17" s="70" t="s">
        <v>529</v>
      </c>
      <c r="C17" s="40" t="s">
        <v>213</v>
      </c>
      <c r="D17" s="40" t="s">
        <v>214</v>
      </c>
      <c r="E17" s="38">
        <v>4</v>
      </c>
      <c r="F17" s="38">
        <v>1</v>
      </c>
      <c r="G17" s="90">
        <f t="shared" si="0"/>
        <v>4</v>
      </c>
      <c r="H17" s="40" t="s">
        <v>497</v>
      </c>
      <c r="I17" s="143">
        <v>0.05</v>
      </c>
      <c r="J17" s="144">
        <f t="shared" si="1"/>
        <v>0.2</v>
      </c>
      <c r="K17" s="93" t="str">
        <f t="shared" si="2"/>
        <v>Non Critique</v>
      </c>
      <c r="L17" s="25"/>
    </row>
    <row r="18" spans="1:12" ht="97.5" customHeight="1" x14ac:dyDescent="0.2">
      <c r="A18" s="217" t="s">
        <v>73</v>
      </c>
      <c r="B18" s="25" t="s">
        <v>506</v>
      </c>
      <c r="C18" s="40" t="s">
        <v>74</v>
      </c>
      <c r="D18" s="40" t="s">
        <v>75</v>
      </c>
      <c r="E18" s="74">
        <v>4</v>
      </c>
      <c r="F18" s="38">
        <v>1</v>
      </c>
      <c r="G18" s="90">
        <f t="shared" si="0"/>
        <v>4</v>
      </c>
      <c r="H18" s="40" t="s">
        <v>530</v>
      </c>
      <c r="I18" s="143">
        <v>0.05</v>
      </c>
      <c r="J18" s="144">
        <f t="shared" si="1"/>
        <v>0.2</v>
      </c>
      <c r="K18" s="93" t="str">
        <f t="shared" si="2"/>
        <v>Non Critique</v>
      </c>
      <c r="L18" s="26"/>
    </row>
    <row r="19" spans="1:12" ht="68.099999999999994" customHeight="1" x14ac:dyDescent="0.2">
      <c r="A19" s="217"/>
      <c r="B19" s="25" t="s">
        <v>205</v>
      </c>
      <c r="C19" s="40" t="s">
        <v>531</v>
      </c>
      <c r="D19" s="40" t="s">
        <v>532</v>
      </c>
      <c r="E19" s="38">
        <v>4</v>
      </c>
      <c r="F19" s="38">
        <v>1</v>
      </c>
      <c r="G19" s="90">
        <f t="shared" si="0"/>
        <v>4</v>
      </c>
      <c r="H19" s="40" t="s">
        <v>533</v>
      </c>
      <c r="I19" s="143">
        <v>0.05</v>
      </c>
      <c r="J19" s="144">
        <f t="shared" si="1"/>
        <v>0.2</v>
      </c>
      <c r="K19" s="93" t="str">
        <f t="shared" si="2"/>
        <v>Non Critique</v>
      </c>
      <c r="L19" s="26"/>
    </row>
    <row r="20" spans="1:12" ht="91.5" customHeight="1" x14ac:dyDescent="0.2">
      <c r="A20" s="217"/>
      <c r="B20" s="26" t="s">
        <v>534</v>
      </c>
      <c r="C20" s="40" t="s">
        <v>535</v>
      </c>
      <c r="D20" s="40" t="s">
        <v>76</v>
      </c>
      <c r="E20" s="38">
        <v>1</v>
      </c>
      <c r="F20" s="38">
        <v>4</v>
      </c>
      <c r="G20" s="90">
        <f t="shared" si="0"/>
        <v>4</v>
      </c>
      <c r="H20" s="40" t="s">
        <v>536</v>
      </c>
      <c r="I20" s="143">
        <v>0.05</v>
      </c>
      <c r="J20" s="144">
        <f t="shared" si="1"/>
        <v>0.2</v>
      </c>
      <c r="K20" s="93" t="str">
        <f t="shared" si="2"/>
        <v>Non Critique</v>
      </c>
      <c r="L20" s="26"/>
    </row>
    <row r="21" spans="1:12" ht="56.25" customHeight="1" x14ac:dyDescent="0.2">
      <c r="A21" s="217"/>
      <c r="B21" s="26" t="s">
        <v>537</v>
      </c>
      <c r="C21" s="40" t="s">
        <v>77</v>
      </c>
      <c r="D21" s="40" t="s">
        <v>538</v>
      </c>
      <c r="E21" s="74">
        <v>4</v>
      </c>
      <c r="F21" s="38">
        <v>1</v>
      </c>
      <c r="G21" s="90">
        <f t="shared" si="0"/>
        <v>4</v>
      </c>
      <c r="H21" s="40" t="s">
        <v>78</v>
      </c>
      <c r="I21" s="143">
        <v>0.05</v>
      </c>
      <c r="J21" s="144">
        <f t="shared" si="1"/>
        <v>0.2</v>
      </c>
      <c r="K21" s="93" t="str">
        <f t="shared" si="2"/>
        <v>Non Critique</v>
      </c>
      <c r="L21" s="26"/>
    </row>
    <row r="22" spans="1:12" ht="59.45" customHeight="1" x14ac:dyDescent="0.2">
      <c r="A22" s="217"/>
      <c r="B22" s="25" t="s">
        <v>79</v>
      </c>
      <c r="C22" s="40" t="s">
        <v>80</v>
      </c>
      <c r="D22" s="40" t="s">
        <v>81</v>
      </c>
      <c r="E22" s="38">
        <v>2</v>
      </c>
      <c r="F22" s="38">
        <v>1</v>
      </c>
      <c r="G22" s="90">
        <f t="shared" si="0"/>
        <v>2</v>
      </c>
      <c r="H22" s="40" t="s">
        <v>82</v>
      </c>
      <c r="I22" s="143">
        <v>0.05</v>
      </c>
      <c r="J22" s="144">
        <f t="shared" si="1"/>
        <v>0.1</v>
      </c>
      <c r="K22" s="93" t="str">
        <f t="shared" si="2"/>
        <v>Non Critique</v>
      </c>
      <c r="L22" s="25"/>
    </row>
    <row r="23" spans="1:12" ht="106.5" customHeight="1" x14ac:dyDescent="0.2">
      <c r="A23" s="217"/>
      <c r="B23" s="25" t="s">
        <v>83</v>
      </c>
      <c r="C23" s="40" t="s">
        <v>84</v>
      </c>
      <c r="D23" s="40" t="s">
        <v>539</v>
      </c>
      <c r="E23" s="38">
        <v>2</v>
      </c>
      <c r="F23" s="38">
        <v>1</v>
      </c>
      <c r="G23" s="90">
        <f t="shared" si="0"/>
        <v>2</v>
      </c>
      <c r="H23" s="40" t="s">
        <v>85</v>
      </c>
      <c r="I23" s="143">
        <v>0.05</v>
      </c>
      <c r="J23" s="144">
        <f t="shared" si="1"/>
        <v>0.1</v>
      </c>
      <c r="K23" s="93" t="str">
        <f t="shared" si="2"/>
        <v>Non Critique</v>
      </c>
      <c r="L23" s="70"/>
    </row>
    <row r="24" spans="1:12" ht="69.599999999999994" customHeight="1" x14ac:dyDescent="0.2">
      <c r="A24" s="217"/>
      <c r="B24" s="25" t="s">
        <v>540</v>
      </c>
      <c r="C24" s="40" t="s">
        <v>86</v>
      </c>
      <c r="D24" s="40" t="s">
        <v>207</v>
      </c>
      <c r="E24" s="38">
        <v>1</v>
      </c>
      <c r="F24" s="38">
        <v>3</v>
      </c>
      <c r="G24" s="90">
        <f t="shared" si="0"/>
        <v>3</v>
      </c>
      <c r="H24" s="40" t="s">
        <v>87</v>
      </c>
      <c r="I24" s="143">
        <v>0.05</v>
      </c>
      <c r="J24" s="144">
        <f t="shared" si="1"/>
        <v>0.15000000000000002</v>
      </c>
      <c r="K24" s="93" t="str">
        <f t="shared" si="2"/>
        <v>Non Critique</v>
      </c>
      <c r="L24" s="26"/>
    </row>
    <row r="25" spans="1:12" ht="76.5" customHeight="1" x14ac:dyDescent="0.2">
      <c r="A25" s="217"/>
      <c r="B25" s="26" t="s">
        <v>88</v>
      </c>
      <c r="C25" s="40" t="s">
        <v>541</v>
      </c>
      <c r="D25" s="40" t="s">
        <v>89</v>
      </c>
      <c r="E25" s="38">
        <v>1</v>
      </c>
      <c r="F25" s="38">
        <v>3</v>
      </c>
      <c r="G25" s="90">
        <f t="shared" si="0"/>
        <v>3</v>
      </c>
      <c r="H25" s="40" t="s">
        <v>542</v>
      </c>
      <c r="I25" s="143">
        <v>0.05</v>
      </c>
      <c r="J25" s="144">
        <f t="shared" si="1"/>
        <v>0.15000000000000002</v>
      </c>
      <c r="K25" s="93" t="str">
        <f t="shared" si="2"/>
        <v>Non Critique</v>
      </c>
      <c r="L25" s="25"/>
    </row>
    <row r="26" spans="1:12" ht="69" customHeight="1" x14ac:dyDescent="0.2">
      <c r="A26" s="217"/>
      <c r="B26" s="25" t="s">
        <v>90</v>
      </c>
      <c r="C26" s="40" t="s">
        <v>91</v>
      </c>
      <c r="D26" s="40" t="s">
        <v>92</v>
      </c>
      <c r="E26" s="38">
        <v>1</v>
      </c>
      <c r="F26" s="38">
        <v>1</v>
      </c>
      <c r="G26" s="90">
        <f t="shared" si="0"/>
        <v>1</v>
      </c>
      <c r="H26" s="40" t="s">
        <v>543</v>
      </c>
      <c r="I26" s="143">
        <v>0.05</v>
      </c>
      <c r="J26" s="144">
        <f t="shared" si="1"/>
        <v>0.05</v>
      </c>
      <c r="K26" s="93" t="str">
        <f t="shared" si="2"/>
        <v>Non Critique</v>
      </c>
      <c r="L26" s="28"/>
    </row>
    <row r="27" spans="1:12" ht="80.099999999999994" customHeight="1" x14ac:dyDescent="0.2">
      <c r="A27" s="217"/>
      <c r="B27" s="25" t="s">
        <v>94</v>
      </c>
      <c r="C27" s="40" t="s">
        <v>544</v>
      </c>
      <c r="D27" s="40" t="s">
        <v>95</v>
      </c>
      <c r="E27" s="38">
        <v>1</v>
      </c>
      <c r="F27" s="38">
        <v>3</v>
      </c>
      <c r="G27" s="90">
        <f t="shared" si="0"/>
        <v>3</v>
      </c>
      <c r="H27" s="40" t="s">
        <v>93</v>
      </c>
      <c r="I27" s="143">
        <v>0.05</v>
      </c>
      <c r="J27" s="144">
        <f t="shared" si="1"/>
        <v>0.15000000000000002</v>
      </c>
      <c r="K27" s="93" t="str">
        <f t="shared" si="2"/>
        <v>Non Critique</v>
      </c>
      <c r="L27" s="27"/>
    </row>
    <row r="28" spans="1:12" ht="75" customHeight="1" x14ac:dyDescent="0.2">
      <c r="A28" s="217"/>
      <c r="B28" s="25" t="s">
        <v>96</v>
      </c>
      <c r="C28" s="40" t="s">
        <v>97</v>
      </c>
      <c r="D28" s="40" t="s">
        <v>98</v>
      </c>
      <c r="E28" s="38">
        <v>4</v>
      </c>
      <c r="F28" s="38">
        <v>1</v>
      </c>
      <c r="G28" s="90">
        <f t="shared" si="0"/>
        <v>4</v>
      </c>
      <c r="H28" s="40" t="s">
        <v>99</v>
      </c>
      <c r="I28" s="143">
        <v>0.05</v>
      </c>
      <c r="J28" s="144">
        <f t="shared" si="1"/>
        <v>0.2</v>
      </c>
      <c r="K28" s="93" t="str">
        <f t="shared" si="2"/>
        <v>Non Critique</v>
      </c>
      <c r="L28" s="25"/>
    </row>
    <row r="29" spans="1:12" ht="112.5" customHeight="1" x14ac:dyDescent="0.2">
      <c r="A29" s="217"/>
      <c r="B29" s="25" t="s">
        <v>103</v>
      </c>
      <c r="C29" s="40" t="s">
        <v>100</v>
      </c>
      <c r="D29" s="40" t="s">
        <v>545</v>
      </c>
      <c r="E29" s="38">
        <v>4</v>
      </c>
      <c r="F29" s="38">
        <v>1</v>
      </c>
      <c r="G29" s="90">
        <f t="shared" si="0"/>
        <v>4</v>
      </c>
      <c r="H29" s="40" t="s">
        <v>101</v>
      </c>
      <c r="I29" s="143">
        <v>0.3</v>
      </c>
      <c r="J29" s="144">
        <f t="shared" si="1"/>
        <v>1.2</v>
      </c>
      <c r="K29" s="93" t="str">
        <f t="shared" si="2"/>
        <v>Non Critique</v>
      </c>
      <c r="L29" s="25" t="s">
        <v>507</v>
      </c>
    </row>
    <row r="30" spans="1:12" ht="84.75" customHeight="1" x14ac:dyDescent="0.2">
      <c r="A30" s="217"/>
      <c r="B30" s="26" t="s">
        <v>102</v>
      </c>
      <c r="C30" s="40" t="s">
        <v>546</v>
      </c>
      <c r="D30" s="40" t="s">
        <v>104</v>
      </c>
      <c r="E30" s="38">
        <v>1</v>
      </c>
      <c r="F30" s="38">
        <v>1</v>
      </c>
      <c r="G30" s="90">
        <f t="shared" si="0"/>
        <v>1</v>
      </c>
      <c r="H30" s="40" t="s">
        <v>105</v>
      </c>
      <c r="I30" s="143">
        <v>0.05</v>
      </c>
      <c r="J30" s="144">
        <f t="shared" si="1"/>
        <v>0.05</v>
      </c>
      <c r="K30" s="93" t="str">
        <f t="shared" si="2"/>
        <v>Non Critique</v>
      </c>
      <c r="L30" s="25"/>
    </row>
    <row r="31" spans="1:12" ht="84.95" customHeight="1" x14ac:dyDescent="0.2">
      <c r="A31" s="217"/>
      <c r="B31" s="25" t="s">
        <v>106</v>
      </c>
      <c r="C31" s="40" t="s">
        <v>107</v>
      </c>
      <c r="D31" s="40" t="s">
        <v>109</v>
      </c>
      <c r="E31" s="38">
        <v>2</v>
      </c>
      <c r="F31" s="38">
        <v>1</v>
      </c>
      <c r="G31" s="90">
        <f t="shared" si="0"/>
        <v>2</v>
      </c>
      <c r="H31" s="40" t="s">
        <v>110</v>
      </c>
      <c r="I31" s="143">
        <v>0.05</v>
      </c>
      <c r="J31" s="144">
        <f t="shared" si="1"/>
        <v>0.1</v>
      </c>
      <c r="K31" s="93" t="str">
        <f t="shared" si="2"/>
        <v>Non Critique</v>
      </c>
      <c r="L31" s="25"/>
    </row>
    <row r="32" spans="1:12" ht="64.5" customHeight="1" x14ac:dyDescent="0.2">
      <c r="A32" s="217"/>
      <c r="B32" s="25" t="s">
        <v>111</v>
      </c>
      <c r="C32" s="40" t="s">
        <v>547</v>
      </c>
      <c r="D32" s="40" t="s">
        <v>108</v>
      </c>
      <c r="E32" s="38">
        <v>1</v>
      </c>
      <c r="F32" s="38">
        <v>1</v>
      </c>
      <c r="G32" s="90">
        <f t="shared" si="0"/>
        <v>1</v>
      </c>
      <c r="H32" s="40" t="s">
        <v>112</v>
      </c>
      <c r="I32" s="143">
        <v>0.05</v>
      </c>
      <c r="J32" s="144">
        <f t="shared" si="1"/>
        <v>0.05</v>
      </c>
      <c r="K32" s="93" t="str">
        <f t="shared" si="2"/>
        <v>Non Critique</v>
      </c>
      <c r="L32" s="26"/>
    </row>
    <row r="33" spans="1:12" ht="87.6" customHeight="1" x14ac:dyDescent="0.2">
      <c r="A33" s="217"/>
      <c r="B33" s="41" t="s">
        <v>113</v>
      </c>
      <c r="C33" s="40" t="s">
        <v>548</v>
      </c>
      <c r="D33" s="40" t="s">
        <v>115</v>
      </c>
      <c r="E33" s="38">
        <v>3</v>
      </c>
      <c r="F33" s="38">
        <v>1</v>
      </c>
      <c r="G33" s="90">
        <f t="shared" si="0"/>
        <v>3</v>
      </c>
      <c r="H33" s="40" t="s">
        <v>549</v>
      </c>
      <c r="I33" s="143">
        <v>0.05</v>
      </c>
      <c r="J33" s="144">
        <f t="shared" si="1"/>
        <v>0.15000000000000002</v>
      </c>
      <c r="K33" s="93" t="str">
        <f t="shared" si="2"/>
        <v>Non Critique</v>
      </c>
      <c r="L33" s="26"/>
    </row>
    <row r="34" spans="1:12" ht="69" customHeight="1" x14ac:dyDescent="0.2">
      <c r="A34" s="217"/>
      <c r="B34" s="41" t="s">
        <v>114</v>
      </c>
      <c r="C34" s="40" t="s">
        <v>550</v>
      </c>
      <c r="D34" s="40" t="s">
        <v>116</v>
      </c>
      <c r="E34" s="38">
        <v>1</v>
      </c>
      <c r="F34" s="38">
        <v>1</v>
      </c>
      <c r="G34" s="90">
        <f t="shared" si="0"/>
        <v>1</v>
      </c>
      <c r="H34" s="68" t="s">
        <v>551</v>
      </c>
      <c r="I34" s="146">
        <v>0.05</v>
      </c>
      <c r="J34" s="144">
        <f t="shared" si="1"/>
        <v>0.05</v>
      </c>
      <c r="K34" s="93" t="str">
        <f t="shared" si="2"/>
        <v>Non Critique</v>
      </c>
      <c r="L34" s="26"/>
    </row>
    <row r="35" spans="1:12" ht="78.599999999999994" customHeight="1" x14ac:dyDescent="0.2">
      <c r="A35" s="217"/>
      <c r="B35" s="25" t="s">
        <v>117</v>
      </c>
      <c r="C35" s="40" t="s">
        <v>552</v>
      </c>
      <c r="D35" s="40" t="s">
        <v>118</v>
      </c>
      <c r="E35" s="38">
        <v>1</v>
      </c>
      <c r="F35" s="38">
        <v>4</v>
      </c>
      <c r="G35" s="90">
        <f t="shared" si="0"/>
        <v>4</v>
      </c>
      <c r="H35" s="40" t="s">
        <v>553</v>
      </c>
      <c r="I35" s="143">
        <v>0.05</v>
      </c>
      <c r="J35" s="144">
        <f t="shared" si="1"/>
        <v>0.2</v>
      </c>
      <c r="K35" s="93" t="str">
        <f t="shared" si="2"/>
        <v>Non Critique</v>
      </c>
      <c r="L35" s="26"/>
    </row>
    <row r="36" spans="1:12" ht="141.94999999999999" customHeight="1" x14ac:dyDescent="0.2">
      <c r="A36" s="217"/>
      <c r="B36" s="25" t="s">
        <v>121</v>
      </c>
      <c r="C36" s="40" t="s">
        <v>583</v>
      </c>
      <c r="D36" s="40" t="s">
        <v>554</v>
      </c>
      <c r="E36" s="38">
        <v>1</v>
      </c>
      <c r="F36" s="38">
        <v>4</v>
      </c>
      <c r="G36" s="90">
        <f t="shared" si="0"/>
        <v>4</v>
      </c>
      <c r="H36" s="40" t="s">
        <v>555</v>
      </c>
      <c r="I36" s="143">
        <v>0.05</v>
      </c>
      <c r="J36" s="144">
        <f t="shared" si="1"/>
        <v>0.2</v>
      </c>
      <c r="K36" s="93" t="str">
        <f t="shared" si="2"/>
        <v>Non Critique</v>
      </c>
      <c r="L36" s="69" t="s">
        <v>556</v>
      </c>
    </row>
    <row r="37" spans="1:12" ht="141.75" customHeight="1" x14ac:dyDescent="0.2">
      <c r="A37" s="217"/>
      <c r="B37" s="25" t="s">
        <v>122</v>
      </c>
      <c r="C37" s="40" t="s">
        <v>557</v>
      </c>
      <c r="D37" s="40" t="s">
        <v>558</v>
      </c>
      <c r="E37" s="38">
        <v>2</v>
      </c>
      <c r="F37" s="38">
        <v>3</v>
      </c>
      <c r="G37" s="90">
        <f t="shared" si="0"/>
        <v>6</v>
      </c>
      <c r="H37" s="40" t="s">
        <v>508</v>
      </c>
      <c r="I37" s="143">
        <v>0.05</v>
      </c>
      <c r="J37" s="144">
        <f t="shared" si="1"/>
        <v>0.30000000000000004</v>
      </c>
      <c r="K37" s="93" t="str">
        <f t="shared" si="2"/>
        <v>Non Critique</v>
      </c>
      <c r="L37" s="71"/>
    </row>
    <row r="38" spans="1:12" ht="81" customHeight="1" x14ac:dyDescent="0.2">
      <c r="A38" s="217"/>
      <c r="B38" s="25" t="s">
        <v>123</v>
      </c>
      <c r="C38" s="40" t="s">
        <v>124</v>
      </c>
      <c r="D38" s="40" t="s">
        <v>125</v>
      </c>
      <c r="E38" s="38">
        <v>1</v>
      </c>
      <c r="F38" s="38">
        <v>2</v>
      </c>
      <c r="G38" s="90">
        <f t="shared" si="0"/>
        <v>2</v>
      </c>
      <c r="H38" s="40" t="s">
        <v>559</v>
      </c>
      <c r="I38" s="143">
        <v>0.05</v>
      </c>
      <c r="J38" s="144">
        <f t="shared" si="1"/>
        <v>0.1</v>
      </c>
      <c r="K38" s="93" t="str">
        <f t="shared" si="2"/>
        <v>Non Critique</v>
      </c>
      <c r="L38" s="71"/>
    </row>
    <row r="39" spans="1:12" ht="82.5" customHeight="1" x14ac:dyDescent="0.2">
      <c r="A39" s="217"/>
      <c r="B39" s="70" t="s">
        <v>560</v>
      </c>
      <c r="C39" s="40" t="s">
        <v>561</v>
      </c>
      <c r="D39" s="40" t="s">
        <v>126</v>
      </c>
      <c r="E39" s="38">
        <v>1</v>
      </c>
      <c r="F39" s="38">
        <v>1</v>
      </c>
      <c r="G39" s="90">
        <f t="shared" si="0"/>
        <v>1</v>
      </c>
      <c r="H39" s="40" t="s">
        <v>562</v>
      </c>
      <c r="I39" s="143">
        <v>0.7</v>
      </c>
      <c r="J39" s="144">
        <f t="shared" si="1"/>
        <v>0.7</v>
      </c>
      <c r="K39" s="93" t="str">
        <f t="shared" si="2"/>
        <v>Non Critique</v>
      </c>
      <c r="L39" s="43"/>
    </row>
    <row r="40" spans="1:12" ht="59.25" customHeight="1" x14ac:dyDescent="0.2">
      <c r="A40" s="214" t="s">
        <v>150</v>
      </c>
      <c r="B40" s="25" t="s">
        <v>127</v>
      </c>
      <c r="C40" s="40" t="s">
        <v>584</v>
      </c>
      <c r="D40" s="40" t="s">
        <v>128</v>
      </c>
      <c r="E40" s="38">
        <v>1</v>
      </c>
      <c r="F40" s="38">
        <v>1</v>
      </c>
      <c r="G40" s="90">
        <f t="shared" si="0"/>
        <v>1</v>
      </c>
      <c r="H40" s="40" t="s">
        <v>585</v>
      </c>
      <c r="I40" s="143">
        <v>0.05</v>
      </c>
      <c r="J40" s="144">
        <f t="shared" si="1"/>
        <v>0.05</v>
      </c>
      <c r="K40" s="93" t="str">
        <f t="shared" si="2"/>
        <v>Non Critique</v>
      </c>
      <c r="L40" s="39"/>
    </row>
    <row r="41" spans="1:12" ht="73.5" customHeight="1" x14ac:dyDescent="0.2">
      <c r="A41" s="215"/>
      <c r="B41" s="25" t="s">
        <v>129</v>
      </c>
      <c r="C41" s="40" t="s">
        <v>130</v>
      </c>
      <c r="D41" s="40" t="s">
        <v>131</v>
      </c>
      <c r="E41" s="38">
        <v>1</v>
      </c>
      <c r="F41" s="38">
        <v>1</v>
      </c>
      <c r="G41" s="90">
        <f t="shared" si="0"/>
        <v>1</v>
      </c>
      <c r="H41" s="40" t="s">
        <v>132</v>
      </c>
      <c r="I41" s="143">
        <v>0.05</v>
      </c>
      <c r="J41" s="144">
        <f t="shared" si="1"/>
        <v>0.05</v>
      </c>
      <c r="K41" s="93" t="str">
        <f t="shared" si="2"/>
        <v>Non Critique</v>
      </c>
      <c r="L41" s="25"/>
    </row>
    <row r="42" spans="1:12" ht="86.25" customHeight="1" x14ac:dyDescent="0.2">
      <c r="A42" s="215"/>
      <c r="B42" s="70" t="s">
        <v>563</v>
      </c>
      <c r="C42" s="40" t="s">
        <v>587</v>
      </c>
      <c r="D42" s="40" t="s">
        <v>588</v>
      </c>
      <c r="E42" s="38">
        <v>1</v>
      </c>
      <c r="F42" s="38">
        <v>2</v>
      </c>
      <c r="G42" s="90">
        <f t="shared" si="0"/>
        <v>2</v>
      </c>
      <c r="H42" s="40" t="s">
        <v>586</v>
      </c>
      <c r="I42" s="145">
        <v>0.05</v>
      </c>
      <c r="J42" s="144">
        <f>G42*I42</f>
        <v>0.1</v>
      </c>
      <c r="K42" s="93" t="str">
        <f t="shared" si="2"/>
        <v>Non Critique</v>
      </c>
      <c r="L42" s="72"/>
    </row>
    <row r="43" spans="1:12" ht="102" customHeight="1" x14ac:dyDescent="0.2">
      <c r="A43" s="215"/>
      <c r="B43" s="25" t="s">
        <v>133</v>
      </c>
      <c r="C43" s="40" t="s">
        <v>134</v>
      </c>
      <c r="D43" s="40" t="s">
        <v>564</v>
      </c>
      <c r="E43" s="38">
        <v>2</v>
      </c>
      <c r="F43" s="38">
        <v>2</v>
      </c>
      <c r="G43" s="90">
        <f t="shared" si="0"/>
        <v>4</v>
      </c>
      <c r="H43" s="40" t="s">
        <v>589</v>
      </c>
      <c r="I43" s="143">
        <v>0.3</v>
      </c>
      <c r="J43" s="144">
        <f>G43*I43</f>
        <v>1.2</v>
      </c>
      <c r="K43" s="93" t="str">
        <f t="shared" si="2"/>
        <v>Non Critique</v>
      </c>
      <c r="L43" s="25"/>
    </row>
    <row r="44" spans="1:12" ht="55.5" customHeight="1" x14ac:dyDescent="0.2">
      <c r="A44" s="215"/>
      <c r="B44" s="25" t="s">
        <v>135</v>
      </c>
      <c r="C44" s="40" t="s">
        <v>136</v>
      </c>
      <c r="D44" s="40" t="s">
        <v>137</v>
      </c>
      <c r="E44" s="38">
        <v>2</v>
      </c>
      <c r="F44" s="38">
        <v>1</v>
      </c>
      <c r="G44" s="90">
        <f t="shared" si="0"/>
        <v>2</v>
      </c>
      <c r="H44" s="40" t="s">
        <v>138</v>
      </c>
      <c r="I44" s="143">
        <v>0.05</v>
      </c>
      <c r="J44" s="144">
        <f t="shared" si="1"/>
        <v>0.1</v>
      </c>
      <c r="K44" s="93" t="str">
        <f t="shared" si="2"/>
        <v>Non Critique</v>
      </c>
      <c r="L44" s="25"/>
    </row>
    <row r="45" spans="1:12" ht="57" customHeight="1" x14ac:dyDescent="0.2">
      <c r="A45" s="216"/>
      <c r="B45" s="25" t="s">
        <v>565</v>
      </c>
      <c r="C45" s="40" t="s">
        <v>566</v>
      </c>
      <c r="D45" s="40" t="s">
        <v>590</v>
      </c>
      <c r="E45" s="38">
        <v>1</v>
      </c>
      <c r="F45" s="38">
        <v>1</v>
      </c>
      <c r="G45" s="90">
        <f>(E45*F45)</f>
        <v>1</v>
      </c>
      <c r="H45" s="40" t="s">
        <v>591</v>
      </c>
      <c r="I45" s="143">
        <v>0.05</v>
      </c>
      <c r="J45" s="144">
        <f t="shared" si="1"/>
        <v>0.05</v>
      </c>
      <c r="K45" s="93" t="str">
        <f t="shared" si="2"/>
        <v>Non Critique</v>
      </c>
      <c r="L45" s="26"/>
    </row>
    <row r="46" spans="1:12" ht="96" customHeight="1" x14ac:dyDescent="0.2">
      <c r="A46" s="211" t="s">
        <v>151</v>
      </c>
      <c r="B46" s="25" t="s">
        <v>567</v>
      </c>
      <c r="C46" s="40" t="s">
        <v>139</v>
      </c>
      <c r="D46" s="40" t="s">
        <v>592</v>
      </c>
      <c r="E46" s="38">
        <v>1</v>
      </c>
      <c r="F46" s="38">
        <v>1</v>
      </c>
      <c r="G46" s="90">
        <f t="shared" si="0"/>
        <v>1</v>
      </c>
      <c r="H46" s="40" t="s">
        <v>593</v>
      </c>
      <c r="I46" s="143">
        <v>0.05</v>
      </c>
      <c r="J46" s="144">
        <f t="shared" si="1"/>
        <v>0.05</v>
      </c>
      <c r="K46" s="93" t="str">
        <f t="shared" si="2"/>
        <v>Non Critique</v>
      </c>
      <c r="L46" s="25"/>
    </row>
    <row r="47" spans="1:12" ht="91.5" customHeight="1" x14ac:dyDescent="0.2">
      <c r="A47" s="212"/>
      <c r="B47" s="25" t="s">
        <v>140</v>
      </c>
      <c r="C47" s="40" t="s">
        <v>568</v>
      </c>
      <c r="D47" s="40" t="s">
        <v>141</v>
      </c>
      <c r="E47" s="38">
        <v>1</v>
      </c>
      <c r="F47" s="38">
        <v>1</v>
      </c>
      <c r="G47" s="90">
        <f t="shared" si="0"/>
        <v>1</v>
      </c>
      <c r="H47" s="40" t="s">
        <v>142</v>
      </c>
      <c r="I47" s="143">
        <v>0.05</v>
      </c>
      <c r="J47" s="144">
        <f t="shared" si="1"/>
        <v>0.05</v>
      </c>
      <c r="K47" s="93" t="str">
        <f t="shared" si="2"/>
        <v>Non Critique</v>
      </c>
      <c r="L47" s="25"/>
    </row>
    <row r="48" spans="1:12" ht="66.75" customHeight="1" x14ac:dyDescent="0.2">
      <c r="A48" s="213"/>
      <c r="B48" s="25" t="s">
        <v>143</v>
      </c>
      <c r="C48" s="40" t="s">
        <v>594</v>
      </c>
      <c r="D48" s="40" t="s">
        <v>144</v>
      </c>
      <c r="E48" s="38">
        <v>1</v>
      </c>
      <c r="F48" s="38">
        <v>1</v>
      </c>
      <c r="G48" s="90">
        <f t="shared" si="0"/>
        <v>1</v>
      </c>
      <c r="H48" s="40" t="s">
        <v>145</v>
      </c>
      <c r="I48" s="143">
        <v>0.05</v>
      </c>
      <c r="J48" s="144">
        <f t="shared" si="1"/>
        <v>0.05</v>
      </c>
      <c r="K48" s="93" t="str">
        <f t="shared" si="2"/>
        <v>Non Critique</v>
      </c>
      <c r="L48" s="137" t="s">
        <v>595</v>
      </c>
    </row>
    <row r="49" spans="1:12" ht="81" customHeight="1" x14ac:dyDescent="0.2">
      <c r="A49" s="214" t="s">
        <v>152</v>
      </c>
      <c r="B49" s="70" t="s">
        <v>146</v>
      </c>
      <c r="C49" s="40" t="s">
        <v>569</v>
      </c>
      <c r="D49" s="40" t="s">
        <v>570</v>
      </c>
      <c r="E49" s="38">
        <v>2</v>
      </c>
      <c r="F49" s="38">
        <v>1</v>
      </c>
      <c r="G49" s="90">
        <f t="shared" si="0"/>
        <v>2</v>
      </c>
      <c r="H49" s="40" t="s">
        <v>596</v>
      </c>
      <c r="I49" s="143">
        <v>0.05</v>
      </c>
      <c r="J49" s="144">
        <f t="shared" si="1"/>
        <v>0.1</v>
      </c>
      <c r="K49" s="93" t="str">
        <f t="shared" si="2"/>
        <v>Non Critique</v>
      </c>
      <c r="L49" s="25"/>
    </row>
    <row r="50" spans="1:12" ht="95.25" customHeight="1" x14ac:dyDescent="0.2">
      <c r="A50" s="215"/>
      <c r="B50" s="70" t="s">
        <v>148</v>
      </c>
      <c r="C50" s="40" t="s">
        <v>149</v>
      </c>
      <c r="D50" s="40" t="s">
        <v>571</v>
      </c>
      <c r="E50" s="38">
        <v>2</v>
      </c>
      <c r="F50" s="38">
        <v>1</v>
      </c>
      <c r="G50" s="90">
        <f t="shared" si="0"/>
        <v>2</v>
      </c>
      <c r="H50" s="40" t="s">
        <v>147</v>
      </c>
      <c r="I50" s="143">
        <v>0.05</v>
      </c>
      <c r="J50" s="144">
        <f t="shared" si="1"/>
        <v>0.1</v>
      </c>
      <c r="K50" s="93" t="str">
        <f t="shared" si="2"/>
        <v>Non Critique</v>
      </c>
      <c r="L50" s="25"/>
    </row>
    <row r="51" spans="1:12" ht="75" customHeight="1" x14ac:dyDescent="0.2">
      <c r="A51" s="215"/>
      <c r="B51" s="70" t="s">
        <v>372</v>
      </c>
      <c r="C51" s="40" t="s">
        <v>215</v>
      </c>
      <c r="D51" s="40" t="s">
        <v>216</v>
      </c>
      <c r="E51" s="38">
        <v>1</v>
      </c>
      <c r="F51" s="38">
        <v>1</v>
      </c>
      <c r="G51" s="90">
        <f t="shared" si="0"/>
        <v>1</v>
      </c>
      <c r="H51" s="40" t="s">
        <v>597</v>
      </c>
      <c r="I51" s="143">
        <v>0.05</v>
      </c>
      <c r="J51" s="144">
        <f t="shared" si="1"/>
        <v>0.05</v>
      </c>
      <c r="K51" s="93" t="str">
        <f t="shared" si="2"/>
        <v>Non Critique</v>
      </c>
      <c r="L51" s="25"/>
    </row>
    <row r="52" spans="1:12" ht="80.25" customHeight="1" x14ac:dyDescent="0.2">
      <c r="A52" s="215"/>
      <c r="B52" s="25" t="s">
        <v>599</v>
      </c>
      <c r="C52" s="40" t="s">
        <v>217</v>
      </c>
      <c r="D52" s="40" t="s">
        <v>218</v>
      </c>
      <c r="E52" s="38">
        <v>2</v>
      </c>
      <c r="F52" s="38">
        <v>1</v>
      </c>
      <c r="G52" s="90">
        <f t="shared" si="0"/>
        <v>2</v>
      </c>
      <c r="H52" s="40" t="s">
        <v>598</v>
      </c>
      <c r="I52" s="143">
        <v>0.05</v>
      </c>
      <c r="J52" s="144">
        <f t="shared" si="1"/>
        <v>0.1</v>
      </c>
      <c r="K52" s="93" t="str">
        <f t="shared" si="2"/>
        <v>Non Critique</v>
      </c>
      <c r="L52" s="25"/>
    </row>
    <row r="53" spans="1:12" ht="99" customHeight="1" x14ac:dyDescent="0.2">
      <c r="A53" s="215"/>
      <c r="B53" s="25" t="s">
        <v>153</v>
      </c>
      <c r="C53" s="44" t="s">
        <v>572</v>
      </c>
      <c r="D53" s="44" t="s">
        <v>154</v>
      </c>
      <c r="E53" s="38">
        <v>2</v>
      </c>
      <c r="F53" s="38">
        <v>1</v>
      </c>
      <c r="G53" s="90">
        <f t="shared" si="0"/>
        <v>2</v>
      </c>
      <c r="H53" s="44" t="s">
        <v>600</v>
      </c>
      <c r="I53" s="105">
        <v>0.05</v>
      </c>
      <c r="J53" s="144">
        <f t="shared" si="1"/>
        <v>0.1</v>
      </c>
      <c r="K53" s="93" t="str">
        <f t="shared" si="2"/>
        <v>Non Critique</v>
      </c>
      <c r="L53" s="25"/>
    </row>
    <row r="54" spans="1:12" ht="102.75" customHeight="1" x14ac:dyDescent="0.2">
      <c r="A54" s="215"/>
      <c r="B54" s="25" t="s">
        <v>155</v>
      </c>
      <c r="C54" s="40" t="s">
        <v>573</v>
      </c>
      <c r="D54" s="40" t="s">
        <v>156</v>
      </c>
      <c r="E54" s="38">
        <v>2</v>
      </c>
      <c r="F54" s="38">
        <v>1</v>
      </c>
      <c r="G54" s="90">
        <f t="shared" si="0"/>
        <v>2</v>
      </c>
      <c r="H54" s="40" t="s">
        <v>601</v>
      </c>
      <c r="I54" s="143">
        <v>0.05</v>
      </c>
      <c r="J54" s="144">
        <f t="shared" si="1"/>
        <v>0.1</v>
      </c>
      <c r="K54" s="93" t="str">
        <f t="shared" si="2"/>
        <v>Non Critique</v>
      </c>
      <c r="L54" s="25"/>
    </row>
    <row r="55" spans="1:12" ht="81" customHeight="1" x14ac:dyDescent="0.2">
      <c r="A55" s="216"/>
      <c r="B55" s="70" t="s">
        <v>603</v>
      </c>
      <c r="C55" s="40" t="s">
        <v>219</v>
      </c>
      <c r="D55" s="40" t="s">
        <v>602</v>
      </c>
      <c r="E55" s="38">
        <v>2</v>
      </c>
      <c r="F55" s="38">
        <v>1</v>
      </c>
      <c r="G55" s="90">
        <f t="shared" si="0"/>
        <v>2</v>
      </c>
      <c r="H55" s="40" t="s">
        <v>220</v>
      </c>
      <c r="I55" s="143">
        <v>0.05</v>
      </c>
      <c r="J55" s="144">
        <f t="shared" si="1"/>
        <v>0.1</v>
      </c>
      <c r="K55" s="93" t="str">
        <f t="shared" si="2"/>
        <v>Non Critique</v>
      </c>
      <c r="L55" s="25"/>
    </row>
    <row r="56" spans="1:12" ht="95.25" customHeight="1" x14ac:dyDescent="0.2">
      <c r="A56" s="211" t="s">
        <v>606</v>
      </c>
      <c r="B56" s="25" t="s">
        <v>605</v>
      </c>
      <c r="C56" s="40" t="s">
        <v>157</v>
      </c>
      <c r="D56" s="40" t="s">
        <v>604</v>
      </c>
      <c r="E56" s="38">
        <v>2</v>
      </c>
      <c r="F56" s="38">
        <v>1</v>
      </c>
      <c r="G56" s="90">
        <f t="shared" si="0"/>
        <v>2</v>
      </c>
      <c r="H56" s="40" t="s">
        <v>574</v>
      </c>
      <c r="I56" s="143">
        <v>0.05</v>
      </c>
      <c r="J56" s="144">
        <f t="shared" si="1"/>
        <v>0.1</v>
      </c>
      <c r="K56" s="93" t="str">
        <f t="shared" si="2"/>
        <v>Non Critique</v>
      </c>
      <c r="L56" s="25"/>
    </row>
    <row r="57" spans="1:12" ht="112.5" customHeight="1" x14ac:dyDescent="0.2">
      <c r="A57" s="212"/>
      <c r="B57" s="25" t="s">
        <v>158</v>
      </c>
      <c r="C57" s="40" t="s">
        <v>159</v>
      </c>
      <c r="D57" s="40" t="s">
        <v>607</v>
      </c>
      <c r="E57" s="38">
        <v>2</v>
      </c>
      <c r="F57" s="38">
        <v>1</v>
      </c>
      <c r="G57" s="90">
        <f t="shared" si="0"/>
        <v>2</v>
      </c>
      <c r="H57" s="40" t="s">
        <v>160</v>
      </c>
      <c r="I57" s="143">
        <v>0.05</v>
      </c>
      <c r="J57" s="144">
        <f t="shared" si="1"/>
        <v>0.1</v>
      </c>
      <c r="K57" s="93" t="str">
        <f t="shared" si="2"/>
        <v>Non Critique</v>
      </c>
      <c r="L57" s="25"/>
    </row>
    <row r="58" spans="1:12" ht="59.25" customHeight="1" x14ac:dyDescent="0.2">
      <c r="A58" s="213"/>
      <c r="B58" s="25" t="s">
        <v>161</v>
      </c>
      <c r="C58" s="40" t="s">
        <v>608</v>
      </c>
      <c r="D58" s="40" t="s">
        <v>575</v>
      </c>
      <c r="E58" s="38">
        <v>2</v>
      </c>
      <c r="F58" s="38">
        <v>1</v>
      </c>
      <c r="G58" s="90">
        <f t="shared" si="0"/>
        <v>2</v>
      </c>
      <c r="H58" s="40" t="s">
        <v>609</v>
      </c>
      <c r="I58" s="145">
        <v>0.05</v>
      </c>
      <c r="J58" s="144">
        <f t="shared" si="1"/>
        <v>0.1</v>
      </c>
      <c r="K58" s="93" t="str">
        <f t="shared" si="2"/>
        <v>Non Critique</v>
      </c>
      <c r="L58" s="26"/>
    </row>
    <row r="59" spans="1:12" ht="65.25" customHeight="1" x14ac:dyDescent="0.2">
      <c r="A59" s="211" t="s">
        <v>168</v>
      </c>
      <c r="B59" s="25" t="s">
        <v>162</v>
      </c>
      <c r="C59" s="44" t="s">
        <v>163</v>
      </c>
      <c r="D59" s="40" t="s">
        <v>610</v>
      </c>
      <c r="E59" s="38">
        <v>2</v>
      </c>
      <c r="F59" s="38">
        <v>1</v>
      </c>
      <c r="G59" s="90">
        <f t="shared" si="0"/>
        <v>2</v>
      </c>
      <c r="H59" s="44" t="s">
        <v>576</v>
      </c>
      <c r="I59" s="105">
        <v>0.05</v>
      </c>
      <c r="J59" s="144">
        <f t="shared" si="1"/>
        <v>0.1</v>
      </c>
      <c r="K59" s="93" t="str">
        <f t="shared" si="2"/>
        <v>Non Critique</v>
      </c>
      <c r="L59" s="25"/>
    </row>
    <row r="60" spans="1:12" ht="73.5" customHeight="1" x14ac:dyDescent="0.2">
      <c r="A60" s="212"/>
      <c r="B60" s="25" t="s">
        <v>164</v>
      </c>
      <c r="C60" s="40" t="s">
        <v>577</v>
      </c>
      <c r="D60" s="40" t="s">
        <v>611</v>
      </c>
      <c r="E60" s="38">
        <v>1</v>
      </c>
      <c r="F60" s="38">
        <v>1</v>
      </c>
      <c r="G60" s="90">
        <f t="shared" si="0"/>
        <v>1</v>
      </c>
      <c r="H60" s="40" t="s">
        <v>221</v>
      </c>
      <c r="I60" s="143">
        <v>0.05</v>
      </c>
      <c r="J60" s="144">
        <f t="shared" si="1"/>
        <v>0.05</v>
      </c>
      <c r="K60" s="93" t="str">
        <f t="shared" si="2"/>
        <v>Non Critique</v>
      </c>
      <c r="L60" s="25"/>
    </row>
    <row r="61" spans="1:12" ht="84" customHeight="1" x14ac:dyDescent="0.2">
      <c r="A61" s="212"/>
      <c r="B61" s="26" t="s">
        <v>165</v>
      </c>
      <c r="C61" s="40" t="s">
        <v>166</v>
      </c>
      <c r="D61" s="40" t="s">
        <v>167</v>
      </c>
      <c r="E61" s="38">
        <v>2</v>
      </c>
      <c r="F61" s="38">
        <v>1</v>
      </c>
      <c r="G61" s="90">
        <f t="shared" si="0"/>
        <v>2</v>
      </c>
      <c r="H61" s="40" t="s">
        <v>578</v>
      </c>
      <c r="I61" s="143">
        <v>0.05</v>
      </c>
      <c r="J61" s="144">
        <f t="shared" si="1"/>
        <v>0.1</v>
      </c>
      <c r="K61" s="93" t="str">
        <f t="shared" si="2"/>
        <v>Non Critique</v>
      </c>
      <c r="L61" s="26"/>
    </row>
    <row r="62" spans="1:12" ht="114.75" customHeight="1" x14ac:dyDescent="0.2">
      <c r="A62" s="213"/>
      <c r="B62" s="25" t="s">
        <v>612</v>
      </c>
      <c r="C62" s="40" t="s">
        <v>579</v>
      </c>
      <c r="D62" s="40" t="s">
        <v>580</v>
      </c>
      <c r="E62" s="38">
        <v>2</v>
      </c>
      <c r="F62" s="38">
        <v>1</v>
      </c>
      <c r="G62" s="90">
        <f t="shared" si="0"/>
        <v>2</v>
      </c>
      <c r="H62" s="40" t="s">
        <v>581</v>
      </c>
      <c r="I62" s="143">
        <v>0.05</v>
      </c>
      <c r="J62" s="144">
        <f t="shared" si="1"/>
        <v>0.1</v>
      </c>
      <c r="K62" s="93" t="str">
        <f t="shared" si="2"/>
        <v>Non Critique</v>
      </c>
      <c r="L62" s="43" t="s">
        <v>222</v>
      </c>
    </row>
    <row r="63" spans="1:12" x14ac:dyDescent="0.2">
      <c r="A63" s="2"/>
      <c r="B63" s="1">
        <f>COUNTA(B10:B62)</f>
        <v>53</v>
      </c>
      <c r="C63" s="1"/>
      <c r="D63" s="1"/>
      <c r="E63" s="10"/>
      <c r="F63" s="10"/>
      <c r="H63" s="10"/>
      <c r="I63" s="10"/>
      <c r="J63" s="10"/>
      <c r="K63" s="14"/>
    </row>
    <row r="64" spans="1:12" x14ac:dyDescent="0.2">
      <c r="A64" s="2"/>
      <c r="B64" s="1"/>
      <c r="C64" s="1"/>
      <c r="D64" s="1"/>
      <c r="E64" s="10"/>
      <c r="F64" s="10"/>
      <c r="H64" s="10"/>
      <c r="I64" s="10"/>
      <c r="J64" s="10"/>
      <c r="K64" s="14"/>
    </row>
    <row r="65" spans="1:11" x14ac:dyDescent="0.2">
      <c r="A65" s="2"/>
      <c r="B65" s="1"/>
      <c r="C65" s="1"/>
      <c r="D65" s="1"/>
      <c r="E65" s="10"/>
      <c r="F65" s="10"/>
      <c r="H65" s="10"/>
      <c r="I65" s="10"/>
      <c r="J65" s="10"/>
      <c r="K65" s="14"/>
    </row>
    <row r="66" spans="1:11" x14ac:dyDescent="0.2">
      <c r="A66" s="2"/>
      <c r="B66" s="1"/>
      <c r="C66" s="1"/>
      <c r="D66" s="1"/>
      <c r="E66" s="10"/>
      <c r="F66" s="10"/>
      <c r="H66" s="10"/>
      <c r="I66" s="10"/>
      <c r="J66" s="10"/>
      <c r="K66" s="14"/>
    </row>
    <row r="67" spans="1:11" x14ac:dyDescent="0.2">
      <c r="A67" s="2"/>
      <c r="B67" s="1"/>
      <c r="C67" s="1"/>
      <c r="D67" s="1"/>
      <c r="E67" s="1"/>
      <c r="F67" s="1"/>
      <c r="G67" s="14"/>
      <c r="H67" s="1"/>
      <c r="I67" s="1"/>
      <c r="J67" s="1"/>
      <c r="K67" s="14"/>
    </row>
    <row r="68" spans="1:11" x14ac:dyDescent="0.2">
      <c r="A68" s="2"/>
      <c r="B68" s="1"/>
      <c r="C68" s="1"/>
      <c r="D68" s="1"/>
      <c r="E68" s="1"/>
      <c r="F68" s="1"/>
      <c r="G68" s="14"/>
      <c r="H68" s="1"/>
      <c r="I68" s="1"/>
      <c r="J68" s="1"/>
      <c r="K68" s="14"/>
    </row>
    <row r="69" spans="1:11" x14ac:dyDescent="0.2">
      <c r="A69" s="2"/>
      <c r="B69" s="1"/>
      <c r="C69" s="1"/>
      <c r="D69" s="1"/>
      <c r="E69" s="1"/>
      <c r="F69" s="1"/>
      <c r="G69" s="14"/>
      <c r="H69" s="1"/>
      <c r="I69" s="1"/>
      <c r="J69" s="1"/>
      <c r="K69" s="14"/>
    </row>
    <row r="70" spans="1:11" x14ac:dyDescent="0.2">
      <c r="A70" s="2"/>
      <c r="B70" s="1"/>
      <c r="C70" s="1"/>
      <c r="D70" s="1"/>
      <c r="E70" s="1"/>
      <c r="F70" s="1"/>
      <c r="G70" s="14"/>
      <c r="H70" s="1"/>
      <c r="I70" s="1"/>
      <c r="J70" s="1"/>
      <c r="K70" s="14"/>
    </row>
    <row r="71" spans="1:11" x14ac:dyDescent="0.2">
      <c r="A71" s="2"/>
      <c r="B71" s="1"/>
      <c r="C71" s="1"/>
      <c r="D71" s="1"/>
      <c r="E71" s="1"/>
      <c r="F71" s="1"/>
      <c r="G71" s="14"/>
      <c r="H71" s="1"/>
      <c r="I71" s="1"/>
      <c r="J71" s="1"/>
      <c r="K71" s="14"/>
    </row>
    <row r="72" spans="1:11" x14ac:dyDescent="0.2">
      <c r="A72" s="2"/>
      <c r="B72" s="1"/>
      <c r="C72" s="1"/>
      <c r="D72" s="1"/>
      <c r="E72" s="1"/>
      <c r="F72" s="1"/>
      <c r="G72" s="14"/>
      <c r="H72" s="1"/>
      <c r="I72" s="1"/>
      <c r="J72" s="1"/>
      <c r="K72" s="14"/>
    </row>
    <row r="73" spans="1:11" x14ac:dyDescent="0.2">
      <c r="A73" s="2"/>
      <c r="B73" s="1"/>
      <c r="C73" s="1"/>
      <c r="D73" s="1"/>
      <c r="E73" s="1"/>
      <c r="F73" s="1"/>
      <c r="G73" s="14"/>
      <c r="H73" s="1"/>
      <c r="I73" s="1"/>
      <c r="J73" s="1"/>
      <c r="K73" s="14"/>
    </row>
    <row r="74" spans="1:11" x14ac:dyDescent="0.2">
      <c r="A74" s="2"/>
      <c r="B74" s="1"/>
      <c r="C74" s="1"/>
      <c r="D74" s="1"/>
      <c r="E74" s="1"/>
      <c r="F74" s="1"/>
      <c r="G74" s="14"/>
      <c r="H74" s="1"/>
      <c r="I74" s="1"/>
      <c r="J74" s="1"/>
      <c r="K74" s="14"/>
    </row>
    <row r="75" spans="1:11" ht="12.75" customHeight="1" x14ac:dyDescent="0.2">
      <c r="E75" s="1"/>
      <c r="F75" s="1"/>
      <c r="G75" s="14"/>
      <c r="H75" s="1"/>
      <c r="I75" s="1"/>
      <c r="J75" s="1"/>
    </row>
    <row r="76" spans="1:11" x14ac:dyDescent="0.2">
      <c r="E76" s="1"/>
      <c r="F76" s="1"/>
      <c r="G76" s="14"/>
      <c r="H76" s="1"/>
      <c r="I76" s="1"/>
      <c r="J76" s="1"/>
    </row>
    <row r="81" ht="12.75" customHeight="1" x14ac:dyDescent="0.2"/>
  </sheetData>
  <autoFilter ref="A9:L63" xr:uid="{00000000-0009-0000-0000-000003000000}">
    <filterColumn colId="0" showButton="0"/>
  </autoFilter>
  <mergeCells count="21">
    <mergeCell ref="A56:A58"/>
    <mergeCell ref="A59:A62"/>
    <mergeCell ref="C1:H4"/>
    <mergeCell ref="A46:A48"/>
    <mergeCell ref="A49:A55"/>
    <mergeCell ref="A18:A39"/>
    <mergeCell ref="A10:A14"/>
    <mergeCell ref="A40:A45"/>
    <mergeCell ref="A15:A17"/>
    <mergeCell ref="H6:J6"/>
    <mergeCell ref="K7:K9"/>
    <mergeCell ref="A7:B9"/>
    <mergeCell ref="L7:L9"/>
    <mergeCell ref="D7:D9"/>
    <mergeCell ref="F7:F8"/>
    <mergeCell ref="G7:G8"/>
    <mergeCell ref="C7:C9"/>
    <mergeCell ref="I7:I8"/>
    <mergeCell ref="E7:E8"/>
    <mergeCell ref="H7:H9"/>
    <mergeCell ref="J7:J8"/>
  </mergeCells>
  <phoneticPr fontId="8" type="noConversion"/>
  <conditionalFormatting sqref="G10:G62">
    <cfRule type="cellIs" dxfId="8" priority="5" operator="between">
      <formula>3</formula>
      <formula>8</formula>
    </cfRule>
    <cfRule type="cellIs" dxfId="7" priority="7" operator="lessThan">
      <formula>3</formula>
    </cfRule>
    <cfRule type="cellIs" dxfId="6" priority="9" operator="greaterThan">
      <formula>8</formula>
    </cfRule>
  </conditionalFormatting>
  <conditionalFormatting sqref="J10:J62">
    <cfRule type="cellIs" dxfId="5" priority="4" operator="greaterThan">
      <formula>8</formula>
    </cfRule>
    <cfRule type="cellIs" dxfId="4" priority="6" operator="between">
      <formula>3</formula>
      <formula>8</formula>
    </cfRule>
    <cfRule type="cellIs" dxfId="3" priority="8" operator="lessThan">
      <formula>3</formula>
    </cfRule>
  </conditionalFormatting>
  <conditionalFormatting sqref="K10:K62">
    <cfRule type="cellIs" dxfId="2" priority="1" operator="equal">
      <formula>"Non Critique"</formula>
    </cfRule>
    <cfRule type="cellIs" dxfId="1" priority="2" operator="equal">
      <formula>"Critique"</formula>
    </cfRule>
    <cfRule type="cellIs" dxfId="0" priority="3" operator="equal">
      <formula>"Très Critique"</formula>
    </cfRule>
  </conditionalFormatting>
  <pageMargins left="0.15748031496062992" right="0.15748031496062992" top="0.35433070866141736" bottom="0.23622047244094491" header="0.19685039370078741" footer="0.15748031496062992"/>
  <pageSetup paperSize="8" scale="47" fitToHeight="2" orientation="landscape" r:id="rId1"/>
  <headerFooter alignWithMargins="0"/>
  <drawing r:id="rId2"/>
  <legacyDrawing r:id="rId3"/>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B27BF-F10F-4963-9CD3-98B2E580DFB1}">
  <dimension ref="A1:K50"/>
  <sheetViews>
    <sheetView topLeftCell="A9" workbookViewId="0">
      <selection activeCell="A2" sqref="A2:XFD2"/>
    </sheetView>
  </sheetViews>
  <sheetFormatPr baseColWidth="10" defaultColWidth="11.42578125" defaultRowHeight="12.75" x14ac:dyDescent="0.2"/>
  <cols>
    <col min="1" max="16384" width="11.42578125" style="77"/>
  </cols>
  <sheetData>
    <row r="1" spans="1:11" ht="59.1" customHeight="1" x14ac:dyDescent="0.2">
      <c r="A1" s="78"/>
      <c r="B1" s="78"/>
      <c r="C1" s="78"/>
      <c r="D1" s="218" t="s">
        <v>475</v>
      </c>
      <c r="E1" s="218"/>
      <c r="F1" s="218"/>
      <c r="G1" s="218"/>
      <c r="H1" s="218"/>
      <c r="I1" s="218"/>
      <c r="J1" s="78"/>
      <c r="K1" s="78"/>
    </row>
    <row r="2" spans="1:11" ht="17.100000000000001" customHeight="1" x14ac:dyDescent="0.2">
      <c r="A2" s="78"/>
      <c r="B2" s="78"/>
      <c r="C2" s="78"/>
      <c r="D2" s="78"/>
      <c r="E2" s="78"/>
      <c r="F2" s="78"/>
      <c r="G2" s="78"/>
      <c r="H2" s="78"/>
      <c r="I2" s="78"/>
      <c r="J2" s="78"/>
      <c r="K2" s="78"/>
    </row>
    <row r="3" spans="1:11" ht="18" x14ac:dyDescent="0.25">
      <c r="A3" s="78"/>
      <c r="B3" s="78"/>
      <c r="C3" s="78"/>
      <c r="D3" s="87" t="s">
        <v>63</v>
      </c>
      <c r="E3" s="78"/>
      <c r="F3" s="78"/>
      <c r="G3" s="78"/>
      <c r="H3" s="78"/>
      <c r="I3" s="78"/>
      <c r="J3" s="78"/>
      <c r="K3" s="78"/>
    </row>
    <row r="4" spans="1:11" x14ac:dyDescent="0.2">
      <c r="A4" s="78"/>
      <c r="B4" s="78"/>
      <c r="C4" s="78"/>
      <c r="D4" s="83"/>
      <c r="E4" s="78"/>
      <c r="F4" s="78"/>
      <c r="G4" s="78"/>
      <c r="H4" s="78"/>
      <c r="I4" s="78"/>
      <c r="J4" s="78"/>
      <c r="K4" s="78"/>
    </row>
    <row r="5" spans="1:11" ht="18" x14ac:dyDescent="0.25">
      <c r="A5" s="83" t="s">
        <v>476</v>
      </c>
      <c r="B5" s="78"/>
      <c r="C5" s="78"/>
      <c r="D5" s="87" t="s">
        <v>1</v>
      </c>
      <c r="E5" s="78"/>
      <c r="F5" s="78"/>
      <c r="G5" s="78"/>
      <c r="H5" s="78"/>
      <c r="I5" s="78"/>
      <c r="J5" s="78"/>
      <c r="K5" s="78"/>
    </row>
    <row r="6" spans="1:11" x14ac:dyDescent="0.2">
      <c r="A6" s="78"/>
      <c r="B6" s="78"/>
      <c r="C6" s="78"/>
      <c r="D6" s="83"/>
      <c r="E6" s="78"/>
      <c r="F6" s="78"/>
      <c r="G6" s="83"/>
      <c r="H6" s="78"/>
      <c r="I6" s="78"/>
      <c r="J6" s="78"/>
      <c r="K6" s="78"/>
    </row>
    <row r="7" spans="1:11" x14ac:dyDescent="0.2">
      <c r="A7" s="78"/>
      <c r="B7" s="78"/>
      <c r="C7" s="78"/>
      <c r="D7" s="83" t="s">
        <v>7</v>
      </c>
      <c r="E7" s="78"/>
      <c r="F7" s="78" t="s">
        <v>9</v>
      </c>
      <c r="G7" s="86" t="s">
        <v>8</v>
      </c>
      <c r="H7" s="78" t="s">
        <v>10</v>
      </c>
      <c r="I7" s="78"/>
      <c r="J7" s="78"/>
      <c r="K7" s="78"/>
    </row>
    <row r="8" spans="1:11" x14ac:dyDescent="0.2">
      <c r="A8" s="78"/>
      <c r="B8" s="78"/>
      <c r="C8" s="78"/>
      <c r="D8" s="83"/>
      <c r="E8" s="78"/>
      <c r="F8" s="78"/>
      <c r="G8" s="85"/>
      <c r="H8" s="78"/>
      <c r="I8" s="78"/>
      <c r="J8" s="78"/>
      <c r="K8" s="78"/>
    </row>
    <row r="9" spans="1:11" x14ac:dyDescent="0.2">
      <c r="A9" s="78"/>
      <c r="B9" s="78"/>
      <c r="C9" s="78"/>
      <c r="D9" s="78"/>
      <c r="E9" s="78"/>
      <c r="F9" s="78"/>
      <c r="G9" s="78"/>
      <c r="H9" s="78"/>
      <c r="I9" s="78"/>
      <c r="J9" s="78"/>
      <c r="K9" s="78"/>
    </row>
    <row r="10" spans="1:11" ht="15" x14ac:dyDescent="0.2">
      <c r="A10" s="79" t="s">
        <v>3</v>
      </c>
      <c r="B10" s="84"/>
      <c r="C10" s="78"/>
      <c r="D10" s="78"/>
      <c r="E10" s="78"/>
      <c r="F10" s="78"/>
      <c r="G10" s="78"/>
      <c r="H10" s="78"/>
      <c r="I10" s="78"/>
      <c r="J10" s="78"/>
      <c r="K10" s="78"/>
    </row>
    <row r="11" spans="1:11" x14ac:dyDescent="0.2">
      <c r="A11" s="78"/>
      <c r="B11" s="84"/>
      <c r="C11" s="78"/>
      <c r="D11" s="78"/>
      <c r="E11" s="78"/>
      <c r="F11" s="78"/>
      <c r="G11" s="78"/>
      <c r="H11" s="78"/>
      <c r="I11" s="78"/>
      <c r="J11" s="78"/>
      <c r="K11" s="78"/>
    </row>
    <row r="12" spans="1:11" x14ac:dyDescent="0.2">
      <c r="A12" s="78"/>
      <c r="B12" s="84"/>
      <c r="C12" s="78"/>
      <c r="D12" s="78"/>
      <c r="E12" s="78"/>
      <c r="F12" s="78"/>
      <c r="G12" s="78"/>
      <c r="H12" s="78"/>
      <c r="I12" s="78"/>
      <c r="J12" s="78"/>
      <c r="K12" s="78"/>
    </row>
    <row r="13" spans="1:11" x14ac:dyDescent="0.2">
      <c r="A13" s="78"/>
      <c r="B13" s="78"/>
      <c r="C13" s="78"/>
      <c r="D13" s="78"/>
      <c r="E13" s="78"/>
      <c r="F13" s="78"/>
      <c r="G13" s="78"/>
      <c r="H13" s="78"/>
      <c r="I13" s="78"/>
      <c r="J13" s="78"/>
      <c r="K13" s="78"/>
    </row>
    <row r="14" spans="1:11" ht="15" x14ac:dyDescent="0.2">
      <c r="A14" s="79" t="s">
        <v>4</v>
      </c>
      <c r="B14" s="78"/>
      <c r="C14" s="78"/>
      <c r="D14" s="78"/>
      <c r="E14" s="78"/>
      <c r="F14" s="78"/>
      <c r="G14" s="78"/>
      <c r="H14" s="78"/>
      <c r="I14" s="78"/>
      <c r="J14" s="78"/>
      <c r="K14" s="78"/>
    </row>
    <row r="15" spans="1:11" x14ac:dyDescent="0.2">
      <c r="A15" s="78"/>
      <c r="B15" s="78"/>
      <c r="C15" s="78"/>
      <c r="D15" s="78"/>
      <c r="E15" s="78"/>
      <c r="F15" s="78"/>
      <c r="G15" s="78"/>
      <c r="H15" s="78"/>
      <c r="I15" s="78"/>
      <c r="J15" s="78"/>
      <c r="K15" s="78"/>
    </row>
    <row r="16" spans="1:11" x14ac:dyDescent="0.2">
      <c r="A16" s="78"/>
      <c r="B16" s="78"/>
      <c r="C16" s="78"/>
      <c r="D16" s="78"/>
      <c r="E16" s="78"/>
      <c r="F16" s="78"/>
      <c r="G16" s="78"/>
      <c r="H16" s="78"/>
      <c r="I16" s="78"/>
      <c r="J16" s="78"/>
      <c r="K16" s="78"/>
    </row>
    <row r="17" spans="1:11" x14ac:dyDescent="0.2">
      <c r="A17" s="78"/>
      <c r="B17" s="78"/>
      <c r="C17" s="78"/>
      <c r="D17" s="78"/>
      <c r="E17" s="78"/>
      <c r="F17" s="78"/>
      <c r="G17" s="78"/>
      <c r="H17" s="78"/>
      <c r="I17" s="78"/>
      <c r="J17" s="78"/>
      <c r="K17" s="78"/>
    </row>
    <row r="18" spans="1:11" x14ac:dyDescent="0.2">
      <c r="A18" s="78"/>
      <c r="B18" s="78"/>
      <c r="C18" s="78"/>
      <c r="D18" s="78"/>
      <c r="E18" s="78"/>
      <c r="F18" s="78"/>
      <c r="G18" s="78"/>
      <c r="H18" s="78"/>
      <c r="I18" s="78"/>
      <c r="J18" s="78"/>
      <c r="K18" s="78"/>
    </row>
    <row r="19" spans="1:11" x14ac:dyDescent="0.2">
      <c r="A19" s="78"/>
      <c r="B19" s="78"/>
      <c r="C19" s="78"/>
      <c r="D19" s="78"/>
      <c r="E19" s="78"/>
      <c r="F19" s="78"/>
      <c r="G19" s="78"/>
      <c r="H19" s="78"/>
      <c r="I19" s="78"/>
      <c r="J19" s="78"/>
      <c r="K19" s="78"/>
    </row>
    <row r="20" spans="1:11" x14ac:dyDescent="0.2">
      <c r="A20" s="83" t="s">
        <v>11</v>
      </c>
      <c r="B20" s="82"/>
      <c r="C20" s="78"/>
      <c r="D20" s="78"/>
      <c r="E20" s="78"/>
      <c r="F20" s="78"/>
      <c r="G20" s="78"/>
      <c r="H20" s="78"/>
      <c r="I20" s="78"/>
      <c r="J20" s="78"/>
      <c r="K20" s="78"/>
    </row>
    <row r="21" spans="1:11" x14ac:dyDescent="0.2">
      <c r="A21" s="83" t="s">
        <v>12</v>
      </c>
      <c r="B21" s="82"/>
      <c r="C21" s="78"/>
      <c r="D21" s="78"/>
      <c r="E21" s="78"/>
      <c r="F21" s="78"/>
      <c r="G21" s="78"/>
      <c r="H21" s="78"/>
      <c r="I21" s="78"/>
      <c r="J21" s="78"/>
      <c r="K21" s="78"/>
    </row>
    <row r="22" spans="1:11" x14ac:dyDescent="0.2">
      <c r="A22" s="78"/>
      <c r="B22" s="78"/>
      <c r="C22" s="78"/>
      <c r="D22" s="78"/>
      <c r="E22" s="78"/>
      <c r="F22" s="78"/>
      <c r="G22" s="78"/>
      <c r="H22" s="78"/>
      <c r="I22" s="78"/>
      <c r="J22" s="78"/>
      <c r="K22" s="78"/>
    </row>
    <row r="23" spans="1:11" ht="15" x14ac:dyDescent="0.2">
      <c r="A23" s="79" t="s">
        <v>13</v>
      </c>
      <c r="B23" s="78"/>
      <c r="C23" s="78"/>
      <c r="D23" s="78"/>
      <c r="E23" s="78"/>
      <c r="F23" s="78"/>
      <c r="G23" s="78"/>
      <c r="H23" s="78"/>
      <c r="I23" s="78"/>
      <c r="J23" s="78"/>
      <c r="K23" s="78"/>
    </row>
    <row r="24" spans="1:11" ht="15" x14ac:dyDescent="0.2">
      <c r="A24" s="79"/>
      <c r="B24" s="78"/>
      <c r="C24" s="78"/>
      <c r="D24" s="78"/>
      <c r="E24" s="78"/>
      <c r="F24" s="78"/>
      <c r="G24" s="78"/>
      <c r="H24" s="78"/>
      <c r="I24" s="78"/>
      <c r="J24" s="78"/>
      <c r="K24" s="78"/>
    </row>
    <row r="25" spans="1:11" x14ac:dyDescent="0.2">
      <c r="A25" s="78"/>
      <c r="B25" s="78"/>
      <c r="C25" s="78"/>
      <c r="D25" s="78"/>
      <c r="E25" s="78"/>
      <c r="F25" s="78"/>
      <c r="G25" s="78"/>
      <c r="H25" s="78"/>
      <c r="I25" s="78"/>
      <c r="J25" s="78"/>
      <c r="K25" s="78"/>
    </row>
    <row r="26" spans="1:11" x14ac:dyDescent="0.2">
      <c r="A26" s="78"/>
      <c r="B26" s="78"/>
      <c r="C26" s="78"/>
      <c r="D26" s="78"/>
      <c r="E26" s="78"/>
      <c r="F26" s="78"/>
      <c r="G26" s="78"/>
      <c r="H26" s="78"/>
      <c r="I26" s="78"/>
      <c r="J26" s="78"/>
      <c r="K26" s="78"/>
    </row>
    <row r="27" spans="1:11" x14ac:dyDescent="0.2">
      <c r="A27" s="78"/>
      <c r="B27" s="78"/>
      <c r="C27" s="78"/>
      <c r="D27" s="78"/>
      <c r="E27" s="78"/>
      <c r="F27" s="78"/>
      <c r="G27" s="78"/>
      <c r="H27" s="78"/>
      <c r="I27" s="78"/>
      <c r="J27" s="78"/>
      <c r="K27" s="78"/>
    </row>
    <row r="28" spans="1:11" x14ac:dyDescent="0.2">
      <c r="A28" s="78"/>
      <c r="B28" s="78"/>
      <c r="C28" s="78"/>
      <c r="D28" s="78"/>
      <c r="E28" s="78"/>
      <c r="F28" s="78"/>
      <c r="G28" s="78"/>
      <c r="H28" s="78"/>
      <c r="I28" s="78"/>
      <c r="J28" s="78"/>
      <c r="K28" s="78"/>
    </row>
    <row r="29" spans="1:11" x14ac:dyDescent="0.2">
      <c r="A29" s="78"/>
      <c r="B29" s="78"/>
      <c r="C29" s="78"/>
      <c r="D29" s="78"/>
      <c r="E29" s="78"/>
      <c r="F29" s="78"/>
      <c r="G29" s="78"/>
      <c r="H29" s="78"/>
      <c r="I29" s="78"/>
      <c r="J29" s="78"/>
      <c r="K29" s="78"/>
    </row>
    <row r="30" spans="1:11" x14ac:dyDescent="0.2">
      <c r="A30" s="78"/>
      <c r="B30" s="78"/>
      <c r="C30" s="78"/>
      <c r="D30" s="78"/>
      <c r="E30" s="78"/>
      <c r="F30" s="78"/>
      <c r="G30" s="78"/>
      <c r="H30" s="78"/>
      <c r="I30" s="78"/>
      <c r="J30" s="78"/>
      <c r="K30" s="78"/>
    </row>
    <row r="31" spans="1:11" x14ac:dyDescent="0.2">
      <c r="A31" s="78"/>
      <c r="B31" s="78"/>
      <c r="C31" s="78"/>
      <c r="D31" s="78"/>
      <c r="E31" s="78"/>
      <c r="F31" s="78"/>
      <c r="G31" s="78"/>
      <c r="H31" s="78"/>
      <c r="I31" s="78"/>
      <c r="J31" s="78"/>
      <c r="K31" s="78"/>
    </row>
    <row r="32" spans="1:11" x14ac:dyDescent="0.2">
      <c r="A32" s="78"/>
      <c r="B32" s="78"/>
      <c r="C32" s="78"/>
      <c r="D32" s="78"/>
      <c r="E32" s="78"/>
      <c r="F32" s="78"/>
      <c r="G32" s="78"/>
      <c r="H32" s="78"/>
      <c r="I32" s="78"/>
      <c r="J32" s="78"/>
      <c r="K32" s="78"/>
    </row>
    <row r="33" spans="1:11" x14ac:dyDescent="0.2">
      <c r="A33" s="78"/>
      <c r="B33" s="78"/>
      <c r="C33" s="78"/>
      <c r="D33" s="78"/>
      <c r="E33" s="78"/>
      <c r="F33" s="78"/>
      <c r="G33" s="78"/>
      <c r="H33" s="78"/>
      <c r="I33" s="78"/>
      <c r="J33" s="78"/>
      <c r="K33" s="78"/>
    </row>
    <row r="34" spans="1:11" ht="15" x14ac:dyDescent="0.2">
      <c r="A34" s="79" t="s">
        <v>14</v>
      </c>
      <c r="B34" s="78"/>
      <c r="C34" s="78"/>
      <c r="D34" s="78"/>
      <c r="E34" s="78"/>
      <c r="F34" s="78"/>
      <c r="G34" s="78"/>
      <c r="H34" s="78"/>
      <c r="I34" s="78"/>
      <c r="J34" s="78"/>
      <c r="K34" s="78"/>
    </row>
    <row r="35" spans="1:11" x14ac:dyDescent="0.2">
      <c r="A35" s="78"/>
      <c r="B35" s="78"/>
      <c r="C35" s="78"/>
      <c r="D35" s="78"/>
      <c r="E35" s="78"/>
      <c r="F35" s="78"/>
      <c r="G35" s="78"/>
      <c r="H35" s="78"/>
      <c r="I35" s="78"/>
      <c r="J35" s="78"/>
      <c r="K35" s="78"/>
    </row>
    <row r="36" spans="1:11" x14ac:dyDescent="0.2">
      <c r="A36" s="78"/>
      <c r="B36" s="78"/>
      <c r="C36" s="78"/>
      <c r="D36" s="78"/>
      <c r="E36" s="78"/>
      <c r="F36" s="78"/>
      <c r="G36" s="78"/>
      <c r="H36" s="78"/>
      <c r="I36" s="78"/>
      <c r="J36" s="78"/>
      <c r="K36" s="78"/>
    </row>
    <row r="37" spans="1:11" x14ac:dyDescent="0.2">
      <c r="A37" s="78"/>
      <c r="B37" s="78"/>
      <c r="C37" s="78"/>
      <c r="D37" s="78"/>
      <c r="E37" s="78"/>
      <c r="F37" s="78"/>
      <c r="G37" s="78"/>
      <c r="H37" s="78"/>
      <c r="I37" s="78"/>
      <c r="J37" s="78"/>
      <c r="K37" s="78"/>
    </row>
    <row r="38" spans="1:11" x14ac:dyDescent="0.2">
      <c r="A38" s="78"/>
      <c r="B38" s="78"/>
      <c r="C38" s="78"/>
      <c r="D38" s="78"/>
      <c r="E38" s="78"/>
      <c r="F38" s="78"/>
      <c r="G38" s="78"/>
      <c r="H38" s="78"/>
      <c r="I38" s="78"/>
      <c r="J38" s="78"/>
      <c r="K38" s="78"/>
    </row>
    <row r="39" spans="1:11" x14ac:dyDescent="0.2">
      <c r="A39" s="78"/>
      <c r="B39" s="78"/>
      <c r="C39" s="78"/>
      <c r="D39" s="78"/>
      <c r="E39" s="78"/>
      <c r="F39" s="78"/>
      <c r="G39" s="78"/>
      <c r="H39" s="78"/>
      <c r="I39" s="78"/>
      <c r="J39" s="78"/>
      <c r="K39" s="78"/>
    </row>
    <row r="40" spans="1:11" ht="15" x14ac:dyDescent="0.2">
      <c r="A40" s="79" t="s">
        <v>5</v>
      </c>
      <c r="B40" s="78"/>
      <c r="C40" s="78"/>
      <c r="D40" s="78"/>
      <c r="E40" s="78"/>
      <c r="F40" s="78"/>
      <c r="G40" s="78"/>
      <c r="H40" s="78"/>
      <c r="I40" s="78"/>
      <c r="J40" s="78"/>
      <c r="K40" s="78"/>
    </row>
    <row r="41" spans="1:11" x14ac:dyDescent="0.2">
      <c r="A41" s="78"/>
      <c r="B41" s="78"/>
      <c r="C41" s="78"/>
      <c r="D41" s="78"/>
      <c r="E41" s="78"/>
      <c r="F41" s="78"/>
      <c r="G41" s="78"/>
      <c r="H41" s="78"/>
      <c r="I41" s="78"/>
      <c r="J41" s="78"/>
      <c r="K41" s="78"/>
    </row>
    <row r="42" spans="1:11" x14ac:dyDescent="0.2">
      <c r="A42" s="78"/>
      <c r="B42" s="78"/>
      <c r="C42" s="78"/>
      <c r="D42" s="78"/>
      <c r="E42" s="78"/>
      <c r="F42" s="78"/>
      <c r="G42" s="78"/>
      <c r="H42" s="78"/>
      <c r="I42" s="78"/>
      <c r="J42" s="78"/>
      <c r="K42" s="78"/>
    </row>
    <row r="43" spans="1:11" x14ac:dyDescent="0.2">
      <c r="A43" s="78"/>
      <c r="B43" s="78"/>
      <c r="C43" s="78"/>
      <c r="D43" s="78"/>
      <c r="E43" s="78"/>
      <c r="F43" s="78"/>
      <c r="G43" s="78"/>
      <c r="H43" s="78"/>
      <c r="I43" s="78"/>
      <c r="J43" s="78"/>
      <c r="K43" s="78"/>
    </row>
    <row r="44" spans="1:11" ht="15" x14ac:dyDescent="0.2">
      <c r="A44" s="78"/>
      <c r="B44" s="15"/>
      <c r="C44" s="15"/>
      <c r="D44" s="81"/>
      <c r="E44" s="78"/>
      <c r="F44" s="78"/>
      <c r="G44" s="78"/>
      <c r="H44" s="78"/>
      <c r="I44" s="78"/>
      <c r="J44" s="78"/>
      <c r="K44" s="78"/>
    </row>
    <row r="45" spans="1:11" ht="15" x14ac:dyDescent="0.2">
      <c r="A45" s="15"/>
      <c r="B45" s="15"/>
      <c r="C45" s="15"/>
      <c r="D45" s="81"/>
      <c r="E45" s="78"/>
      <c r="F45" s="78"/>
      <c r="G45" s="78"/>
      <c r="H45" s="78"/>
      <c r="I45" s="78"/>
      <c r="J45" s="78"/>
      <c r="K45" s="78"/>
    </row>
    <row r="46" spans="1:11" ht="15" x14ac:dyDescent="0.2">
      <c r="A46" s="79" t="s">
        <v>15</v>
      </c>
      <c r="B46" s="78"/>
      <c r="C46" s="78"/>
      <c r="D46" s="78"/>
      <c r="E46" s="78"/>
      <c r="F46" s="78"/>
      <c r="G46" s="78"/>
      <c r="H46" s="78"/>
      <c r="I46" s="78"/>
      <c r="J46" s="78"/>
      <c r="K46" s="78"/>
    </row>
    <row r="47" spans="1:11" ht="15" x14ac:dyDescent="0.2">
      <c r="A47" s="79"/>
      <c r="B47" s="78"/>
      <c r="C47" s="78"/>
      <c r="D47" s="78"/>
      <c r="E47" s="78"/>
      <c r="F47" s="78"/>
      <c r="G47" s="78"/>
      <c r="H47" s="78"/>
      <c r="I47" s="78"/>
      <c r="J47" s="78"/>
      <c r="K47" s="78"/>
    </row>
    <row r="48" spans="1:11" x14ac:dyDescent="0.2">
      <c r="A48" s="80"/>
      <c r="B48" s="78"/>
      <c r="C48" s="80"/>
      <c r="D48" s="78"/>
      <c r="E48" s="78"/>
      <c r="F48" s="78"/>
      <c r="G48" s="78"/>
      <c r="H48" s="78"/>
      <c r="I48" s="78"/>
      <c r="J48" s="78"/>
      <c r="K48" s="78"/>
    </row>
    <row r="49" spans="1:11" ht="15" x14ac:dyDescent="0.2">
      <c r="A49" s="79"/>
      <c r="B49" s="78"/>
      <c r="C49" s="80"/>
      <c r="D49" s="78"/>
      <c r="E49" s="78"/>
      <c r="F49" s="78"/>
      <c r="G49" s="78"/>
      <c r="H49" s="78"/>
      <c r="I49" s="78"/>
      <c r="J49" s="78"/>
      <c r="K49" s="78"/>
    </row>
    <row r="50" spans="1:11" ht="15" x14ac:dyDescent="0.2">
      <c r="A50" s="79"/>
      <c r="B50" s="78"/>
      <c r="C50" s="78"/>
      <c r="D50" s="78"/>
      <c r="E50" s="78"/>
      <c r="F50" s="78"/>
      <c r="G50" s="78"/>
      <c r="H50" s="78"/>
      <c r="I50" s="78"/>
      <c r="J50" s="78"/>
      <c r="K50" s="78"/>
    </row>
  </sheetData>
  <mergeCells count="1">
    <mergeCell ref="D1:I1"/>
  </mergeCell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L64"/>
  <sheetViews>
    <sheetView showGridLines="0" workbookViewId="0">
      <selection activeCell="A6" sqref="A6"/>
    </sheetView>
  </sheetViews>
  <sheetFormatPr baseColWidth="10" defaultColWidth="10.85546875" defaultRowHeight="12.75" x14ac:dyDescent="0.2"/>
  <sheetData>
    <row r="1" spans="1:12" ht="51.95" customHeight="1" x14ac:dyDescent="0.25">
      <c r="A1" s="37"/>
      <c r="B1" s="16"/>
      <c r="C1" s="16"/>
      <c r="D1" s="219" t="s">
        <v>474</v>
      </c>
      <c r="E1" s="219"/>
      <c r="F1" s="219"/>
      <c r="G1" s="219"/>
      <c r="H1" s="219"/>
      <c r="I1" s="219"/>
      <c r="J1" s="16"/>
      <c r="K1" s="16"/>
      <c r="L1" s="16"/>
    </row>
    <row r="2" spans="1:12" ht="14.1" customHeight="1" x14ac:dyDescent="0.25">
      <c r="A2" s="37"/>
      <c r="B2" s="16"/>
      <c r="C2" s="16"/>
      <c r="D2" s="219"/>
      <c r="E2" s="219"/>
      <c r="F2" s="219"/>
      <c r="G2" s="219"/>
      <c r="H2" s="219"/>
      <c r="I2" s="219"/>
      <c r="J2" s="16"/>
      <c r="K2" s="16"/>
      <c r="L2" s="16"/>
    </row>
    <row r="3" spans="1:12" ht="21" customHeight="1" x14ac:dyDescent="0.25">
      <c r="A3" s="37"/>
      <c r="B3" s="16"/>
      <c r="C3" s="16"/>
      <c r="D3" s="16"/>
      <c r="E3" s="16"/>
      <c r="F3" s="16"/>
      <c r="G3" s="16"/>
      <c r="H3" s="16"/>
      <c r="I3" s="16"/>
      <c r="J3" s="16"/>
      <c r="K3" s="16"/>
      <c r="L3" s="16"/>
    </row>
    <row r="4" spans="1:12" ht="15.6" customHeight="1" x14ac:dyDescent="0.25">
      <c r="A4" s="37"/>
      <c r="B4" s="16"/>
      <c r="C4" s="16"/>
      <c r="D4" s="16"/>
      <c r="E4" s="31" t="s">
        <v>63</v>
      </c>
      <c r="F4" s="16"/>
      <c r="G4" s="16"/>
      <c r="H4" s="16"/>
      <c r="I4" s="16"/>
      <c r="J4" s="16"/>
      <c r="K4" s="16"/>
      <c r="L4" s="16"/>
    </row>
    <row r="5" spans="1:12" ht="15.75" x14ac:dyDescent="0.25">
      <c r="A5" s="37"/>
      <c r="B5" s="16"/>
      <c r="C5" s="16"/>
      <c r="D5" s="16"/>
      <c r="E5" s="32"/>
      <c r="F5" s="16"/>
      <c r="G5" s="16"/>
      <c r="H5" s="16"/>
      <c r="I5" s="16"/>
      <c r="J5" s="16"/>
      <c r="K5" s="16"/>
      <c r="L5" s="16"/>
    </row>
    <row r="6" spans="1:12" ht="18" x14ac:dyDescent="0.25">
      <c r="A6" s="32" t="s">
        <v>211</v>
      </c>
      <c r="B6" s="32"/>
      <c r="C6" s="32"/>
      <c r="D6" s="16"/>
      <c r="E6" s="31" t="s">
        <v>1</v>
      </c>
      <c r="F6" s="16"/>
      <c r="G6" s="16"/>
      <c r="H6" s="16"/>
      <c r="I6" s="16"/>
      <c r="J6" s="16"/>
      <c r="K6" s="16"/>
      <c r="L6" s="16"/>
    </row>
    <row r="7" spans="1:12" ht="15.75" x14ac:dyDescent="0.25">
      <c r="A7" s="37"/>
      <c r="B7" s="16"/>
      <c r="C7" s="16"/>
      <c r="D7" s="16"/>
      <c r="E7" s="32"/>
      <c r="F7" s="16"/>
      <c r="G7" s="16"/>
      <c r="H7" s="32"/>
      <c r="I7" s="16"/>
      <c r="J7" s="16"/>
      <c r="K7" s="16"/>
      <c r="L7" s="16"/>
    </row>
    <row r="8" spans="1:12" ht="15.75" x14ac:dyDescent="0.25">
      <c r="A8" s="37"/>
      <c r="B8" s="16"/>
      <c r="C8" s="16"/>
      <c r="D8" s="16"/>
      <c r="E8" s="32" t="s">
        <v>7</v>
      </c>
      <c r="F8" s="16"/>
      <c r="G8" s="16" t="s">
        <v>9</v>
      </c>
      <c r="H8" s="33" t="s">
        <v>8</v>
      </c>
      <c r="I8" s="16" t="s">
        <v>10</v>
      </c>
      <c r="J8" s="16"/>
      <c r="K8" s="16"/>
      <c r="L8" s="16"/>
    </row>
    <row r="9" spans="1:12" ht="15.75" x14ac:dyDescent="0.25">
      <c r="A9" s="37"/>
      <c r="B9" s="16"/>
      <c r="C9" s="16"/>
      <c r="D9" s="16"/>
      <c r="E9" s="32"/>
      <c r="F9" s="16"/>
      <c r="G9" s="16"/>
      <c r="H9" s="34"/>
      <c r="I9" s="16"/>
      <c r="J9" s="16"/>
      <c r="K9" s="16"/>
      <c r="L9" s="16"/>
    </row>
    <row r="10" spans="1:12" ht="15.75" x14ac:dyDescent="0.25">
      <c r="A10" s="37"/>
      <c r="B10" s="16"/>
      <c r="C10" s="16"/>
      <c r="D10" s="16"/>
      <c r="E10" s="16"/>
      <c r="F10" s="16"/>
      <c r="G10" s="16"/>
      <c r="H10" s="16"/>
      <c r="I10" s="16"/>
      <c r="J10" s="16"/>
      <c r="K10" s="16"/>
      <c r="L10" s="16"/>
    </row>
    <row r="11" spans="1:12" ht="15.75" x14ac:dyDescent="0.25">
      <c r="A11" s="37" t="s">
        <v>43</v>
      </c>
      <c r="B11" s="30" t="s">
        <v>42</v>
      </c>
      <c r="C11" s="16"/>
      <c r="D11" s="16"/>
      <c r="E11" s="16"/>
      <c r="F11" s="16"/>
      <c r="G11" s="16"/>
      <c r="H11" s="16"/>
      <c r="I11" s="16"/>
      <c r="J11" s="16"/>
      <c r="K11" s="16"/>
      <c r="L11" s="16"/>
    </row>
    <row r="12" spans="1:12" ht="15.75" x14ac:dyDescent="0.25">
      <c r="A12" s="37"/>
      <c r="B12" s="16"/>
      <c r="C12" s="16"/>
      <c r="D12" s="16"/>
      <c r="E12" s="16"/>
      <c r="F12" s="16"/>
      <c r="G12" s="16"/>
      <c r="H12" s="16"/>
      <c r="I12" s="16"/>
      <c r="J12" s="16"/>
      <c r="K12" s="16"/>
      <c r="L12" s="16"/>
    </row>
    <row r="13" spans="1:12" ht="15.75" x14ac:dyDescent="0.25">
      <c r="A13" s="37"/>
      <c r="B13" s="16"/>
      <c r="C13" s="16"/>
      <c r="D13" s="16"/>
      <c r="E13" s="16"/>
      <c r="F13" s="16"/>
      <c r="G13" s="16"/>
      <c r="H13" s="16"/>
      <c r="I13" s="16"/>
      <c r="J13" s="16"/>
      <c r="K13" s="16"/>
      <c r="L13" s="16"/>
    </row>
    <row r="14" spans="1:12" ht="15.75" x14ac:dyDescent="0.25">
      <c r="A14" s="37"/>
      <c r="B14" s="16"/>
      <c r="C14" s="16"/>
      <c r="D14" s="16"/>
      <c r="E14" s="16"/>
      <c r="F14" s="16"/>
      <c r="G14" s="16"/>
      <c r="H14" s="16"/>
      <c r="I14" s="16"/>
      <c r="J14" s="16"/>
      <c r="K14" s="16"/>
      <c r="L14" s="16"/>
    </row>
    <row r="15" spans="1:12" ht="15.75" x14ac:dyDescent="0.25">
      <c r="A15" s="37" t="s">
        <v>44</v>
      </c>
      <c r="B15" s="30" t="s">
        <v>6</v>
      </c>
      <c r="C15" s="16"/>
      <c r="D15" s="16"/>
      <c r="E15" s="16"/>
      <c r="F15" s="16"/>
      <c r="G15" s="16"/>
      <c r="H15" s="16"/>
      <c r="I15" s="16"/>
      <c r="J15" s="16"/>
      <c r="K15" s="16"/>
      <c r="L15" s="16"/>
    </row>
    <row r="16" spans="1:12" ht="15.75" x14ac:dyDescent="0.25">
      <c r="A16" s="37"/>
      <c r="B16" s="16"/>
      <c r="C16" s="16"/>
      <c r="D16" s="16"/>
      <c r="E16" s="16"/>
      <c r="F16" s="16"/>
      <c r="G16" s="16"/>
      <c r="H16" s="16"/>
      <c r="I16" s="16"/>
      <c r="J16" s="16"/>
      <c r="K16" s="16"/>
      <c r="L16" s="16"/>
    </row>
    <row r="17" spans="1:12" ht="15.75" x14ac:dyDescent="0.25">
      <c r="A17" s="16"/>
      <c r="B17" s="16"/>
      <c r="C17" s="35" t="s">
        <v>19</v>
      </c>
      <c r="D17" s="16"/>
      <c r="E17" s="16"/>
      <c r="F17" s="16"/>
      <c r="G17" s="16"/>
      <c r="H17" s="16"/>
      <c r="I17" s="16"/>
      <c r="J17" s="16"/>
      <c r="K17" s="16"/>
      <c r="L17" s="16"/>
    </row>
    <row r="18" spans="1:12" x14ac:dyDescent="0.2">
      <c r="A18" s="16"/>
      <c r="B18" s="16"/>
      <c r="C18" s="16"/>
      <c r="D18" s="16"/>
      <c r="E18" s="16"/>
      <c r="F18" s="16"/>
      <c r="G18" s="16"/>
      <c r="H18" s="16"/>
      <c r="I18" s="16"/>
      <c r="J18" s="16"/>
      <c r="K18" s="16"/>
      <c r="L18" s="16"/>
    </row>
    <row r="19" spans="1:12" x14ac:dyDescent="0.2">
      <c r="A19" s="16"/>
      <c r="B19" s="16"/>
      <c r="C19" s="16"/>
      <c r="D19" s="16"/>
      <c r="E19" s="16"/>
      <c r="F19" s="16"/>
      <c r="G19" s="16"/>
      <c r="H19" s="16"/>
      <c r="I19" s="16"/>
      <c r="J19" s="16"/>
      <c r="K19" s="16"/>
      <c r="L19" s="16"/>
    </row>
    <row r="20" spans="1:12" x14ac:dyDescent="0.2">
      <c r="A20" s="16"/>
      <c r="B20" s="16"/>
      <c r="C20" s="23"/>
      <c r="D20" s="16"/>
      <c r="E20" s="16"/>
      <c r="F20" s="16"/>
      <c r="G20" s="16"/>
      <c r="H20" s="16"/>
      <c r="I20" s="16"/>
      <c r="J20" s="16"/>
      <c r="K20" s="16"/>
      <c r="L20" s="16"/>
    </row>
    <row r="21" spans="1:12" x14ac:dyDescent="0.2">
      <c r="A21" s="16"/>
      <c r="B21" s="16"/>
      <c r="C21" s="23"/>
      <c r="D21" s="16"/>
      <c r="E21" s="16"/>
      <c r="F21" s="16"/>
      <c r="G21" s="16"/>
      <c r="H21" s="16"/>
      <c r="I21" s="16"/>
      <c r="J21" s="16"/>
      <c r="K21" s="16"/>
      <c r="L21" s="16"/>
    </row>
    <row r="22" spans="1:12" x14ac:dyDescent="0.2">
      <c r="A22" s="16"/>
      <c r="B22" s="16"/>
      <c r="C22" s="23"/>
      <c r="D22" s="16"/>
      <c r="E22" s="16"/>
      <c r="F22" s="16"/>
      <c r="G22" s="16"/>
      <c r="H22" s="16"/>
      <c r="I22" s="16"/>
      <c r="J22" s="16"/>
      <c r="K22" s="16"/>
      <c r="L22" s="16"/>
    </row>
    <row r="23" spans="1:12" x14ac:dyDescent="0.2">
      <c r="A23" s="16"/>
      <c r="B23" s="16"/>
      <c r="C23" s="23"/>
      <c r="D23" s="16"/>
      <c r="E23" s="16"/>
      <c r="F23" s="16"/>
      <c r="G23" s="16"/>
      <c r="H23" s="16"/>
      <c r="I23" s="16"/>
      <c r="J23" s="16"/>
      <c r="K23" s="16"/>
      <c r="L23" s="16"/>
    </row>
    <row r="24" spans="1:12" x14ac:dyDescent="0.2">
      <c r="A24" s="16"/>
      <c r="B24" s="16"/>
      <c r="C24" s="23"/>
      <c r="D24" s="16"/>
      <c r="E24" s="16"/>
      <c r="F24" s="16"/>
      <c r="G24" s="16"/>
      <c r="H24" s="16"/>
      <c r="I24" s="16"/>
      <c r="J24" s="16"/>
      <c r="K24" s="16"/>
      <c r="L24" s="16"/>
    </row>
    <row r="25" spans="1:12" ht="15.75" x14ac:dyDescent="0.25">
      <c r="A25" s="16"/>
      <c r="B25" s="16"/>
      <c r="C25" s="35" t="s">
        <v>16</v>
      </c>
      <c r="D25" s="16"/>
      <c r="E25" s="16"/>
      <c r="F25" s="16"/>
      <c r="G25" s="16"/>
      <c r="H25" s="16"/>
      <c r="I25" s="16"/>
      <c r="J25" s="16"/>
      <c r="K25" s="16"/>
      <c r="L25" s="16"/>
    </row>
    <row r="26" spans="1:12" x14ac:dyDescent="0.2">
      <c r="A26" s="16"/>
      <c r="B26" s="16"/>
      <c r="C26" s="23"/>
      <c r="D26" s="16"/>
      <c r="E26" s="16"/>
      <c r="F26" s="16"/>
      <c r="G26" s="16"/>
      <c r="H26" s="16"/>
      <c r="I26" s="16"/>
      <c r="J26" s="16"/>
      <c r="K26" s="16"/>
      <c r="L26" s="16"/>
    </row>
    <row r="27" spans="1:12" x14ac:dyDescent="0.2">
      <c r="A27" s="16"/>
      <c r="B27" s="16"/>
      <c r="C27" s="23"/>
      <c r="D27" s="16"/>
      <c r="E27" s="16"/>
      <c r="F27" s="16"/>
      <c r="G27" s="16"/>
      <c r="H27" s="16"/>
      <c r="I27" s="16"/>
      <c r="J27" s="16"/>
      <c r="K27" s="16"/>
      <c r="L27" s="16"/>
    </row>
    <row r="28" spans="1:12" x14ac:dyDescent="0.2">
      <c r="A28" s="16"/>
      <c r="B28" s="16"/>
      <c r="C28" s="16"/>
      <c r="D28" s="16"/>
      <c r="E28" s="16"/>
      <c r="F28" s="16"/>
      <c r="G28" s="16"/>
      <c r="H28" s="16"/>
      <c r="I28" s="16"/>
      <c r="J28" s="16"/>
      <c r="K28" s="16"/>
      <c r="L28" s="16"/>
    </row>
    <row r="29" spans="1:12" ht="15.75" x14ac:dyDescent="0.25">
      <c r="A29" s="16"/>
      <c r="B29" s="16"/>
      <c r="C29" s="35" t="s">
        <v>17</v>
      </c>
      <c r="D29" s="16"/>
      <c r="E29" s="16"/>
      <c r="F29" s="16"/>
      <c r="G29" s="16"/>
      <c r="H29" s="16"/>
      <c r="I29" s="16"/>
      <c r="J29" s="16"/>
      <c r="K29" s="16"/>
      <c r="L29" s="16"/>
    </row>
    <row r="30" spans="1:12" x14ac:dyDescent="0.2">
      <c r="A30" s="16"/>
      <c r="B30" s="16"/>
      <c r="C30" s="23"/>
      <c r="D30" s="16"/>
      <c r="E30" s="16"/>
      <c r="F30" s="16"/>
      <c r="G30" s="16"/>
      <c r="H30" s="16"/>
      <c r="I30" s="16"/>
      <c r="J30" s="16"/>
      <c r="K30" s="16"/>
      <c r="L30" s="16"/>
    </row>
    <row r="31" spans="1:12" x14ac:dyDescent="0.2">
      <c r="A31" s="16"/>
      <c r="B31" s="16"/>
      <c r="C31" s="23"/>
      <c r="D31" s="16"/>
      <c r="E31" s="16"/>
      <c r="F31" s="16"/>
      <c r="G31" s="16"/>
      <c r="H31" s="16"/>
      <c r="I31" s="16"/>
      <c r="J31" s="16"/>
      <c r="K31" s="16"/>
      <c r="L31" s="16"/>
    </row>
    <row r="32" spans="1:12" x14ac:dyDescent="0.2">
      <c r="A32" s="16"/>
      <c r="B32" s="16"/>
      <c r="C32" s="23"/>
      <c r="D32" s="16"/>
      <c r="E32" s="16"/>
      <c r="F32" s="16"/>
      <c r="G32" s="16"/>
      <c r="H32" s="16"/>
      <c r="I32" s="16"/>
      <c r="J32" s="16"/>
      <c r="K32" s="16"/>
      <c r="L32" s="16"/>
    </row>
    <row r="33" spans="1:12" x14ac:dyDescent="0.2">
      <c r="A33" s="16"/>
      <c r="B33" s="16"/>
      <c r="C33" s="23"/>
      <c r="D33" s="16"/>
      <c r="E33" s="16"/>
      <c r="F33" s="16"/>
      <c r="G33" s="16"/>
      <c r="H33" s="16"/>
      <c r="I33" s="16"/>
      <c r="J33" s="16"/>
      <c r="K33" s="16"/>
      <c r="L33" s="16"/>
    </row>
    <row r="34" spans="1:12" ht="15.75" x14ac:dyDescent="0.25">
      <c r="A34" s="16"/>
      <c r="B34" s="16"/>
      <c r="C34" s="35" t="s">
        <v>47</v>
      </c>
      <c r="D34" s="16"/>
      <c r="E34" s="16"/>
      <c r="F34" s="16"/>
      <c r="G34" s="16"/>
      <c r="H34" s="16"/>
      <c r="I34" s="16"/>
      <c r="J34" s="16"/>
      <c r="K34" s="16"/>
      <c r="L34" s="16"/>
    </row>
    <row r="35" spans="1:12" x14ac:dyDescent="0.2">
      <c r="A35" s="16"/>
      <c r="B35" s="16"/>
      <c r="C35" s="23"/>
      <c r="D35" s="16"/>
      <c r="E35" s="16"/>
      <c r="F35" s="16"/>
      <c r="G35" s="16"/>
      <c r="H35" s="16"/>
      <c r="I35" s="16"/>
      <c r="J35" s="16"/>
      <c r="K35" s="16"/>
      <c r="L35" s="16"/>
    </row>
    <row r="36" spans="1:12" ht="15.75" x14ac:dyDescent="0.25">
      <c r="A36" s="16"/>
      <c r="B36" s="16"/>
      <c r="C36" s="35"/>
      <c r="D36" s="16"/>
      <c r="E36" s="16"/>
      <c r="F36" s="16"/>
      <c r="G36" s="16"/>
      <c r="H36" s="16"/>
      <c r="I36" s="16"/>
      <c r="J36" s="16"/>
      <c r="K36" s="16"/>
      <c r="L36" s="16"/>
    </row>
    <row r="37" spans="1:12" ht="15.75" x14ac:dyDescent="0.25">
      <c r="A37" s="16"/>
      <c r="B37" s="16"/>
      <c r="C37" s="35" t="s">
        <v>54</v>
      </c>
      <c r="D37" s="16"/>
      <c r="E37" s="16"/>
      <c r="F37" s="16"/>
      <c r="G37" s="16"/>
      <c r="H37" s="16"/>
      <c r="I37" s="16"/>
      <c r="J37" s="16"/>
      <c r="K37" s="16"/>
      <c r="L37" s="16"/>
    </row>
    <row r="38" spans="1:12" ht="15.75" x14ac:dyDescent="0.25">
      <c r="A38" s="16"/>
      <c r="B38" s="16"/>
      <c r="C38" s="35"/>
      <c r="D38" s="16"/>
      <c r="E38" s="23"/>
      <c r="F38" s="16"/>
      <c r="G38" s="16"/>
      <c r="H38" s="16"/>
      <c r="I38" s="16"/>
      <c r="J38" s="16"/>
      <c r="K38" s="16"/>
      <c r="L38" s="16"/>
    </row>
    <row r="39" spans="1:12" ht="15.75" x14ac:dyDescent="0.25">
      <c r="A39" s="16"/>
      <c r="B39" s="16"/>
      <c r="C39" s="35"/>
      <c r="D39" s="16"/>
      <c r="E39" s="16"/>
      <c r="F39" s="16"/>
      <c r="G39" s="16"/>
      <c r="H39" s="16"/>
      <c r="I39" s="16"/>
      <c r="J39" s="16"/>
      <c r="K39" s="16"/>
      <c r="L39" s="16"/>
    </row>
    <row r="40" spans="1:12" ht="15.75" x14ac:dyDescent="0.25">
      <c r="A40" s="16"/>
      <c r="B40" s="16"/>
      <c r="C40" s="35"/>
      <c r="D40" s="23"/>
      <c r="E40" s="16"/>
      <c r="F40" s="16"/>
      <c r="G40" s="16"/>
      <c r="H40" s="16"/>
      <c r="I40" s="16"/>
      <c r="J40" s="16"/>
      <c r="K40" s="16"/>
      <c r="L40" s="16"/>
    </row>
    <row r="41" spans="1:12" x14ac:dyDescent="0.2">
      <c r="A41" s="16"/>
      <c r="B41" s="16"/>
      <c r="C41" s="16"/>
      <c r="D41" s="16"/>
      <c r="E41" s="16"/>
      <c r="F41" s="16"/>
      <c r="G41" s="16"/>
      <c r="H41" s="16"/>
      <c r="I41" s="16"/>
      <c r="J41" s="16"/>
      <c r="K41" s="16"/>
      <c r="L41" s="16"/>
    </row>
    <row r="42" spans="1:12" ht="15.75" x14ac:dyDescent="0.25">
      <c r="A42" s="16"/>
      <c r="B42" s="16"/>
      <c r="C42" s="35" t="s">
        <v>18</v>
      </c>
      <c r="D42" s="15"/>
      <c r="E42" s="36"/>
      <c r="F42" s="36"/>
      <c r="G42" s="36"/>
      <c r="H42" s="16"/>
      <c r="I42" s="16"/>
      <c r="J42" s="16"/>
      <c r="K42" s="16"/>
      <c r="L42" s="16"/>
    </row>
    <row r="43" spans="1:12" x14ac:dyDescent="0.2">
      <c r="A43" s="16"/>
      <c r="B43" s="16"/>
      <c r="C43" s="16"/>
      <c r="D43" s="16"/>
      <c r="E43" s="16"/>
      <c r="F43" s="16"/>
      <c r="G43" s="16"/>
      <c r="H43" s="16"/>
      <c r="I43" s="16"/>
      <c r="J43" s="16"/>
      <c r="K43" s="16"/>
      <c r="L43" s="16"/>
    </row>
    <row r="44" spans="1:12" x14ac:dyDescent="0.2">
      <c r="A44" s="16"/>
      <c r="B44" s="16"/>
      <c r="C44" s="16"/>
      <c r="D44" s="23"/>
      <c r="E44" s="16"/>
      <c r="F44" s="16"/>
      <c r="G44" s="16"/>
      <c r="H44" s="16"/>
      <c r="I44" s="16"/>
      <c r="J44" s="16"/>
      <c r="K44" s="16"/>
      <c r="L44" s="16"/>
    </row>
    <row r="45" spans="1:12" x14ac:dyDescent="0.2">
      <c r="A45" s="16"/>
      <c r="B45" s="16"/>
      <c r="C45" s="16"/>
      <c r="D45" s="16"/>
      <c r="E45" s="16"/>
      <c r="F45" s="16"/>
      <c r="G45" s="16"/>
      <c r="H45" s="16"/>
      <c r="I45" s="16"/>
      <c r="J45" s="16"/>
      <c r="K45" s="16"/>
      <c r="L45" s="16"/>
    </row>
    <row r="46" spans="1:12" x14ac:dyDescent="0.2">
      <c r="A46" s="16"/>
      <c r="B46" s="16"/>
      <c r="C46" s="16"/>
      <c r="D46" s="16"/>
      <c r="E46" s="16"/>
      <c r="F46" s="16"/>
      <c r="G46" s="16"/>
      <c r="H46" s="16"/>
      <c r="I46" s="16"/>
      <c r="J46" s="16"/>
      <c r="K46" s="16"/>
      <c r="L46" s="16"/>
    </row>
    <row r="47" spans="1:12" ht="15.75" x14ac:dyDescent="0.25">
      <c r="A47" s="16"/>
      <c r="B47" s="16"/>
      <c r="C47" s="35" t="s">
        <v>23</v>
      </c>
      <c r="D47" s="16"/>
      <c r="E47" s="16"/>
      <c r="F47" s="16"/>
      <c r="G47" s="16"/>
      <c r="H47" s="16"/>
      <c r="I47" s="16"/>
      <c r="J47" s="16"/>
      <c r="K47" s="16"/>
      <c r="L47" s="16"/>
    </row>
    <row r="48" spans="1:12" x14ac:dyDescent="0.2">
      <c r="A48" s="16"/>
      <c r="B48" s="16"/>
      <c r="C48" s="16"/>
      <c r="D48" s="16"/>
      <c r="E48" s="16"/>
      <c r="F48" s="16"/>
      <c r="G48" s="16"/>
      <c r="H48" s="16"/>
      <c r="I48" s="16"/>
      <c r="J48" s="16"/>
      <c r="K48" s="16"/>
      <c r="L48" s="16"/>
    </row>
    <row r="49" spans="1:12" ht="15.75" x14ac:dyDescent="0.25">
      <c r="A49" s="37"/>
      <c r="B49" s="16"/>
      <c r="C49" s="16"/>
      <c r="D49" s="16"/>
      <c r="E49" s="16"/>
      <c r="F49" s="16"/>
      <c r="G49" s="16"/>
      <c r="H49" s="16"/>
      <c r="I49" s="16"/>
      <c r="J49" s="16"/>
      <c r="K49" s="16"/>
      <c r="L49" s="16"/>
    </row>
    <row r="50" spans="1:12" ht="15.75" x14ac:dyDescent="0.25">
      <c r="A50" s="37"/>
      <c r="B50" s="16"/>
      <c r="C50" s="16"/>
      <c r="D50" s="16"/>
      <c r="E50" s="16"/>
      <c r="F50" s="16"/>
      <c r="G50" s="16"/>
      <c r="H50" s="16"/>
      <c r="I50" s="16"/>
      <c r="J50" s="16"/>
      <c r="K50" s="16"/>
      <c r="L50" s="16"/>
    </row>
    <row r="51" spans="1:12" ht="15.75" x14ac:dyDescent="0.25">
      <c r="A51" s="37"/>
      <c r="B51" s="16"/>
      <c r="C51" s="16"/>
      <c r="D51" s="16"/>
      <c r="E51" s="16"/>
      <c r="F51" s="16"/>
      <c r="G51" s="16"/>
      <c r="H51" s="16"/>
      <c r="I51" s="16"/>
      <c r="J51" s="16"/>
      <c r="K51" s="16"/>
      <c r="L51" s="16"/>
    </row>
    <row r="52" spans="1:12" ht="15.75" x14ac:dyDescent="0.25">
      <c r="A52" s="37"/>
      <c r="B52" s="30"/>
      <c r="C52" s="16"/>
      <c r="D52" s="16"/>
      <c r="E52" s="16"/>
      <c r="F52" s="16"/>
      <c r="G52" s="16"/>
      <c r="H52" s="16"/>
      <c r="I52" s="16"/>
      <c r="J52" s="16"/>
      <c r="K52" s="16"/>
      <c r="L52" s="16"/>
    </row>
    <row r="53" spans="1:12" ht="15.75" x14ac:dyDescent="0.25">
      <c r="A53" s="37" t="s">
        <v>45</v>
      </c>
      <c r="B53" s="30" t="s">
        <v>20</v>
      </c>
      <c r="C53" s="16"/>
      <c r="D53" s="16"/>
      <c r="E53" s="16"/>
      <c r="F53" s="16"/>
      <c r="G53" s="16"/>
      <c r="H53" s="16"/>
      <c r="I53" s="16"/>
      <c r="J53" s="16"/>
      <c r="K53" s="16"/>
      <c r="L53" s="16"/>
    </row>
    <row r="54" spans="1:12" ht="15.75" x14ac:dyDescent="0.25">
      <c r="A54" s="37"/>
      <c r="B54" s="16"/>
      <c r="C54" s="16"/>
      <c r="D54" s="16"/>
      <c r="E54" s="16"/>
      <c r="F54" s="16"/>
      <c r="G54" s="16"/>
      <c r="H54" s="16"/>
      <c r="I54" s="16"/>
      <c r="J54" s="16"/>
      <c r="K54" s="16"/>
      <c r="L54" s="16"/>
    </row>
    <row r="55" spans="1:12" ht="15.75" x14ac:dyDescent="0.25">
      <c r="A55" s="37"/>
      <c r="B55" s="16"/>
      <c r="C55" s="35" t="s">
        <v>21</v>
      </c>
      <c r="D55" s="16"/>
      <c r="E55" s="16"/>
      <c r="F55" s="16"/>
      <c r="G55" s="16"/>
      <c r="H55" s="16"/>
      <c r="I55" s="16"/>
      <c r="J55" s="16"/>
      <c r="K55" s="16"/>
      <c r="L55" s="16"/>
    </row>
    <row r="56" spans="1:12" ht="15.75" x14ac:dyDescent="0.25">
      <c r="A56" s="37"/>
      <c r="B56" s="16"/>
      <c r="C56" s="16"/>
      <c r="D56" s="16"/>
      <c r="E56" s="16"/>
      <c r="F56" s="16"/>
      <c r="G56" s="16"/>
      <c r="H56" s="16"/>
      <c r="I56" s="16"/>
      <c r="J56" s="16"/>
      <c r="K56" s="16"/>
      <c r="L56" s="16"/>
    </row>
    <row r="57" spans="1:12" ht="15.75" x14ac:dyDescent="0.25">
      <c r="A57" s="37"/>
      <c r="B57" s="16"/>
      <c r="C57" s="35"/>
      <c r="D57" s="15"/>
      <c r="E57" s="36"/>
      <c r="F57" s="36"/>
      <c r="G57" s="36"/>
      <c r="H57" s="16"/>
      <c r="I57" s="16"/>
      <c r="J57" s="16"/>
      <c r="K57" s="16"/>
      <c r="L57" s="16"/>
    </row>
    <row r="58" spans="1:12" ht="15.75" x14ac:dyDescent="0.25">
      <c r="A58" s="37"/>
      <c r="B58" s="16"/>
      <c r="C58" s="16"/>
      <c r="D58" s="16"/>
      <c r="E58" s="16"/>
      <c r="F58" s="16"/>
      <c r="G58" s="16"/>
      <c r="H58" s="16"/>
      <c r="I58" s="16"/>
      <c r="J58" s="16"/>
      <c r="K58" s="16"/>
      <c r="L58" s="16"/>
    </row>
    <row r="59" spans="1:12" ht="15.75" x14ac:dyDescent="0.25">
      <c r="A59" s="37"/>
      <c r="B59" s="16"/>
      <c r="C59" s="35" t="s">
        <v>22</v>
      </c>
      <c r="D59" s="16"/>
      <c r="E59" s="16"/>
      <c r="F59" s="16"/>
      <c r="G59" s="16"/>
      <c r="H59" s="16"/>
      <c r="I59" s="16"/>
      <c r="J59" s="16"/>
      <c r="K59" s="16"/>
      <c r="L59" s="16"/>
    </row>
    <row r="60" spans="1:12" ht="15.75" x14ac:dyDescent="0.25">
      <c r="A60" s="37"/>
      <c r="B60" s="16"/>
      <c r="C60" s="16"/>
      <c r="D60" s="16"/>
      <c r="E60" s="16"/>
      <c r="F60" s="16"/>
      <c r="G60" s="16"/>
      <c r="H60" s="16"/>
      <c r="I60" s="16"/>
      <c r="J60" s="16"/>
      <c r="K60" s="16"/>
      <c r="L60" s="16"/>
    </row>
    <row r="61" spans="1:12" ht="15.75" x14ac:dyDescent="0.25">
      <c r="A61" s="37"/>
      <c r="B61" s="16"/>
      <c r="C61" s="16"/>
      <c r="D61" s="16"/>
      <c r="E61" s="16"/>
      <c r="F61" s="16"/>
      <c r="G61" s="16"/>
      <c r="H61" s="16"/>
      <c r="I61" s="16"/>
      <c r="J61" s="16"/>
      <c r="K61" s="16"/>
      <c r="L61" s="16"/>
    </row>
    <row r="62" spans="1:12" x14ac:dyDescent="0.2">
      <c r="A62" s="16"/>
      <c r="B62" s="16"/>
      <c r="C62" s="16"/>
      <c r="D62" s="16"/>
      <c r="E62" s="16"/>
      <c r="F62" s="16"/>
      <c r="G62" s="16"/>
      <c r="H62" s="16"/>
      <c r="I62" s="16"/>
      <c r="J62" s="16"/>
      <c r="K62" s="16"/>
      <c r="L62" s="16"/>
    </row>
    <row r="63" spans="1:12" x14ac:dyDescent="0.2">
      <c r="A63" s="16"/>
      <c r="B63" s="16"/>
      <c r="C63" s="16"/>
      <c r="D63" s="16"/>
      <c r="E63" s="16"/>
      <c r="F63" s="16"/>
      <c r="G63" s="16"/>
      <c r="H63" s="16"/>
      <c r="I63" s="16"/>
      <c r="J63" s="16"/>
      <c r="K63" s="16"/>
      <c r="L63" s="16"/>
    </row>
    <row r="64" spans="1:12" x14ac:dyDescent="0.2">
      <c r="A64" s="16"/>
      <c r="B64" s="16"/>
      <c r="C64" s="16"/>
      <c r="D64" s="16"/>
      <c r="E64" s="16"/>
      <c r="F64" s="16"/>
      <c r="G64" s="16"/>
      <c r="H64" s="16"/>
      <c r="I64" s="16"/>
      <c r="J64" s="16"/>
      <c r="K64" s="16"/>
      <c r="L64" s="16"/>
    </row>
  </sheetData>
  <mergeCells count="1">
    <mergeCell ref="D1:I2"/>
  </mergeCell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G36"/>
  <sheetViews>
    <sheetView showGridLines="0" workbookViewId="0">
      <selection activeCell="A31" sqref="A31"/>
    </sheetView>
  </sheetViews>
  <sheetFormatPr baseColWidth="10" defaultColWidth="10.85546875" defaultRowHeight="12.75" x14ac:dyDescent="0.2"/>
  <cols>
    <col min="2" max="2" width="53.42578125" bestFit="1" customWidth="1"/>
    <col min="3" max="3" width="14.85546875" bestFit="1" customWidth="1"/>
    <col min="5" max="7" width="13.28515625" bestFit="1" customWidth="1"/>
  </cols>
  <sheetData>
    <row r="1" spans="1:7" ht="18" x14ac:dyDescent="0.25">
      <c r="A1" s="9" t="s">
        <v>2</v>
      </c>
    </row>
    <row r="3" spans="1:7" x14ac:dyDescent="0.2">
      <c r="B3" t="s">
        <v>46</v>
      </c>
    </row>
    <row r="7" spans="1:7" x14ac:dyDescent="0.2">
      <c r="B7" t="s">
        <v>55</v>
      </c>
    </row>
    <row r="9" spans="1:7" x14ac:dyDescent="0.2">
      <c r="B9" s="18" t="s">
        <v>56</v>
      </c>
      <c r="C9" s="18" t="s">
        <v>57</v>
      </c>
      <c r="D9" s="18" t="s">
        <v>58</v>
      </c>
      <c r="E9" s="18" t="s">
        <v>59</v>
      </c>
      <c r="F9" s="18" t="s">
        <v>60</v>
      </c>
      <c r="G9" s="18" t="s">
        <v>61</v>
      </c>
    </row>
    <row r="10" spans="1:7" x14ac:dyDescent="0.2">
      <c r="B10" s="5"/>
      <c r="C10" s="5"/>
      <c r="D10" s="5"/>
      <c r="E10" s="5"/>
      <c r="F10" s="5"/>
      <c r="G10" s="5"/>
    </row>
    <row r="11" spans="1:7" x14ac:dyDescent="0.2">
      <c r="B11" s="5"/>
      <c r="C11" s="5"/>
      <c r="D11" s="5"/>
      <c r="E11" s="5"/>
      <c r="F11" s="5"/>
      <c r="G11" s="5"/>
    </row>
    <row r="12" spans="1:7" x14ac:dyDescent="0.2">
      <c r="B12" s="5"/>
      <c r="C12" s="5"/>
      <c r="D12" s="5"/>
      <c r="E12" s="5"/>
      <c r="F12" s="5"/>
      <c r="G12" s="5"/>
    </row>
    <row r="13" spans="1:7" x14ac:dyDescent="0.2">
      <c r="B13" s="5"/>
      <c r="C13" s="5"/>
      <c r="D13" s="5"/>
      <c r="E13" s="5"/>
      <c r="F13" s="5"/>
      <c r="G13" s="5"/>
    </row>
    <row r="14" spans="1:7" x14ac:dyDescent="0.2">
      <c r="B14" s="5"/>
      <c r="C14" s="5"/>
      <c r="D14" s="5"/>
      <c r="E14" s="5"/>
      <c r="F14" s="5"/>
      <c r="G14" s="5"/>
    </row>
    <row r="15" spans="1:7" x14ac:dyDescent="0.2">
      <c r="B15" s="5"/>
      <c r="C15" s="5"/>
      <c r="D15" s="5"/>
      <c r="E15" s="5"/>
      <c r="F15" s="5"/>
      <c r="G15" s="5"/>
    </row>
    <row r="16" spans="1:7" x14ac:dyDescent="0.2">
      <c r="B16" s="5"/>
      <c r="C16" s="5"/>
      <c r="D16" s="5"/>
      <c r="E16" s="5"/>
      <c r="F16" s="5"/>
      <c r="G16" s="5"/>
    </row>
    <row r="17" spans="2:7" x14ac:dyDescent="0.2">
      <c r="B17" s="5"/>
      <c r="C17" s="5"/>
      <c r="D17" s="5"/>
      <c r="E17" s="5"/>
      <c r="F17" s="5"/>
      <c r="G17" s="5"/>
    </row>
    <row r="18" spans="2:7" x14ac:dyDescent="0.2">
      <c r="B18" s="5"/>
      <c r="C18" s="5"/>
      <c r="D18" s="5"/>
      <c r="E18" s="5"/>
      <c r="F18" s="5"/>
      <c r="G18" s="5"/>
    </row>
    <row r="19" spans="2:7" x14ac:dyDescent="0.2">
      <c r="B19" s="5"/>
      <c r="C19" s="5"/>
      <c r="D19" s="5"/>
      <c r="E19" s="5"/>
      <c r="F19" s="5"/>
      <c r="G19" s="5"/>
    </row>
    <row r="20" spans="2:7" x14ac:dyDescent="0.2">
      <c r="B20" s="5"/>
      <c r="C20" s="5"/>
      <c r="D20" s="5"/>
      <c r="E20" s="5"/>
      <c r="F20" s="5"/>
      <c r="G20" s="5"/>
    </row>
    <row r="21" spans="2:7" x14ac:dyDescent="0.2">
      <c r="B21" s="5"/>
      <c r="C21" s="5"/>
      <c r="D21" s="5"/>
      <c r="E21" s="5"/>
      <c r="F21" s="5"/>
      <c r="G21" s="5"/>
    </row>
    <row r="22" spans="2:7" x14ac:dyDescent="0.2">
      <c r="B22" s="5"/>
      <c r="C22" s="5"/>
      <c r="D22" s="5"/>
      <c r="E22" s="5"/>
      <c r="F22" s="5"/>
      <c r="G22" s="5"/>
    </row>
    <row r="23" spans="2:7" x14ac:dyDescent="0.2">
      <c r="B23" s="5"/>
      <c r="C23" s="5"/>
      <c r="D23" s="5"/>
      <c r="E23" s="5"/>
      <c r="F23" s="5"/>
      <c r="G23" s="5"/>
    </row>
    <row r="24" spans="2:7" x14ac:dyDescent="0.2">
      <c r="B24" s="5"/>
      <c r="C24" s="5"/>
      <c r="D24" s="5"/>
      <c r="E24" s="5"/>
      <c r="F24" s="5"/>
      <c r="G24" s="5"/>
    </row>
    <row r="25" spans="2:7" x14ac:dyDescent="0.2">
      <c r="B25" s="5"/>
      <c r="C25" s="5"/>
      <c r="D25" s="5"/>
      <c r="E25" s="5"/>
      <c r="F25" s="5"/>
      <c r="G25" s="5"/>
    </row>
    <row r="26" spans="2:7" x14ac:dyDescent="0.2">
      <c r="B26" s="18"/>
      <c r="C26" s="227" t="s">
        <v>24</v>
      </c>
      <c r="D26" s="228"/>
      <c r="E26" s="20" t="s">
        <v>62</v>
      </c>
      <c r="F26" s="18" t="s">
        <v>60</v>
      </c>
      <c r="G26" s="18" t="s">
        <v>61</v>
      </c>
    </row>
    <row r="27" spans="2:7" ht="27.95" customHeight="1" x14ac:dyDescent="0.2">
      <c r="B27" s="17"/>
      <c r="C27" s="229"/>
      <c r="D27" s="223"/>
      <c r="E27" s="17"/>
      <c r="F27" s="17"/>
      <c r="G27" s="5"/>
    </row>
    <row r="28" spans="2:7" ht="27.95" customHeight="1" x14ac:dyDescent="0.2">
      <c r="B28" s="17"/>
      <c r="C28" s="220"/>
      <c r="D28" s="221"/>
      <c r="E28" s="5"/>
      <c r="F28" s="17"/>
      <c r="G28" s="5"/>
    </row>
    <row r="29" spans="2:7" ht="27.95" customHeight="1" x14ac:dyDescent="0.2">
      <c r="B29" s="29"/>
      <c r="C29" s="220"/>
      <c r="D29" s="226"/>
      <c r="E29" s="5"/>
      <c r="F29" s="17"/>
      <c r="G29" s="5"/>
    </row>
    <row r="30" spans="2:7" ht="27.95" customHeight="1" x14ac:dyDescent="0.2">
      <c r="B30" s="17"/>
      <c r="C30" s="220"/>
      <c r="D30" s="221"/>
      <c r="E30" s="17"/>
      <c r="F30" s="17"/>
      <c r="G30" s="5"/>
    </row>
    <row r="31" spans="2:7" ht="27.95" customHeight="1" x14ac:dyDescent="0.2">
      <c r="B31" s="5"/>
      <c r="C31" s="220"/>
      <c r="D31" s="221"/>
      <c r="E31" s="17"/>
      <c r="F31" s="17"/>
      <c r="G31" s="5"/>
    </row>
    <row r="32" spans="2:7" ht="27.95" customHeight="1" x14ac:dyDescent="0.2">
      <c r="B32" s="29"/>
      <c r="C32" s="220"/>
      <c r="D32" s="221"/>
      <c r="E32" s="5"/>
      <c r="F32" s="17"/>
      <c r="G32" s="5"/>
    </row>
    <row r="33" spans="2:7" ht="27.95" customHeight="1" x14ac:dyDescent="0.2">
      <c r="B33" s="17"/>
      <c r="C33" s="220"/>
      <c r="D33" s="221"/>
      <c r="E33" s="5"/>
      <c r="F33" s="17"/>
      <c r="G33" s="5"/>
    </row>
    <row r="34" spans="2:7" ht="27.95" customHeight="1" x14ac:dyDescent="0.2">
      <c r="B34" s="17"/>
      <c r="C34" s="224"/>
      <c r="D34" s="225"/>
      <c r="E34" s="5"/>
      <c r="F34" s="17"/>
      <c r="G34" s="5"/>
    </row>
    <row r="35" spans="2:7" ht="27.95" customHeight="1" x14ac:dyDescent="0.2">
      <c r="B35" s="17"/>
      <c r="C35" s="222"/>
      <c r="D35" s="223"/>
      <c r="E35" s="17"/>
      <c r="F35" s="17"/>
      <c r="G35" s="5"/>
    </row>
    <row r="36" spans="2:7" x14ac:dyDescent="0.2">
      <c r="C36" s="19"/>
      <c r="D36" s="19"/>
    </row>
  </sheetData>
  <mergeCells count="10">
    <mergeCell ref="C33:D33"/>
    <mergeCell ref="C35:D35"/>
    <mergeCell ref="C34:D34"/>
    <mergeCell ref="C29:D29"/>
    <mergeCell ref="C26:D26"/>
    <mergeCell ref="C27:D27"/>
    <mergeCell ref="C28:D28"/>
    <mergeCell ref="C30:D30"/>
    <mergeCell ref="C31:D31"/>
    <mergeCell ref="C32:D32"/>
  </mergeCells>
  <phoneticPr fontId="8" type="noConversion"/>
  <pageMargins left="0.78740157499999996" right="0.78740157499999996" top="0.984251969" bottom="0.984251969" header="0.4921259845" footer="0.4921259845"/>
  <pageSetup paperSize="9" orientation="portrait"/>
  <headerFooter alignWithMargins="0"/>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yracuseOfficeCustomData>{"createMode":"plain_doc","forceRefresh":"0"}</SyracuseOfficeCustomData>
</file>

<file path=customXml/itemProps1.xml><?xml version="1.0" encoding="utf-8"?>
<ds:datastoreItem xmlns:ds="http://schemas.openxmlformats.org/officeDocument/2006/customXml" ds:itemID="{57963192-5EFB-4395-8069-6C0D24963B3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9</vt:i4>
      </vt:variant>
      <vt:variant>
        <vt:lpstr>Plages nommées</vt:lpstr>
      </vt:variant>
      <vt:variant>
        <vt:i4>3</vt:i4>
      </vt:variant>
    </vt:vector>
  </HeadingPairs>
  <TitlesOfParts>
    <vt:vector size="12" baseType="lpstr">
      <vt:lpstr>Analyse Process Critiques</vt:lpstr>
      <vt:lpstr>Grille cotation risques</vt:lpstr>
      <vt:lpstr>Processus Dedienne</vt:lpstr>
      <vt:lpstr>Risques INT &amp; EXT Le Garric</vt:lpstr>
      <vt:lpstr>Risques INT &amp; EXT Villaroche</vt:lpstr>
      <vt:lpstr>Risques Informatiques</vt:lpstr>
      <vt:lpstr>Modèle Fiche Scénario</vt:lpstr>
      <vt:lpstr>Modèle Fiche CA</vt:lpstr>
      <vt:lpstr>Gestion de crise</vt:lpstr>
      <vt:lpstr>'Risques Informatiques'!Zone_d_impression</vt:lpstr>
      <vt:lpstr>'Risques INT &amp; EXT Le Garric'!Zone_d_impression</vt:lpstr>
      <vt:lpstr>'Risques INT &amp; EXT Villaroche'!Zone_d_impression</vt:lpstr>
    </vt:vector>
  </TitlesOfParts>
  <Company>Dedienne Aerospace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Cécile COUZI</dc:creator>
  <cp:lastModifiedBy>Ilenia VERDUGO</cp:lastModifiedBy>
  <cp:lastPrinted>2021-12-06T14:26:05Z</cp:lastPrinted>
  <dcterms:created xsi:type="dcterms:W3CDTF">2011-12-02T14:43:33Z</dcterms:created>
  <dcterms:modified xsi:type="dcterms:W3CDTF">2025-10-29T13:35:46Z</dcterms:modified>
</cp:coreProperties>
</file>